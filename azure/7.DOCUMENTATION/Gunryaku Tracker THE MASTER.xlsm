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eviantz\Desktop\"/>
    </mc:Choice>
  </mc:AlternateContent>
  <xr:revisionPtr revIDLastSave="0" documentId="13_ncr:1_{391E4F7C-EF89-495F-A40A-CC35B874220B}" xr6:coauthVersionLast="47" xr6:coauthVersionMax="47" xr10:uidLastSave="{00000000-0000-0000-0000-000000000000}"/>
  <workbookProtection workbookAlgorithmName="SHA-512" workbookHashValue="7fB7MNnhv+b3DAWR5aLobVQslgPpJY+3BLLXW32KC4NcPux0jk99NGIGCPM7wKh2q6auY/ANv4+lzaEfQQSMmA==" workbookSaltValue="djTf+3UEgX+Ez9rP0nFjRg==" workbookSpinCount="100000" lockStructure="1"/>
  <bookViews>
    <workbookView xWindow="-98" yWindow="-98" windowWidth="21795" windowHeight="13875" xr2:uid="{8FF7AAD0-4F37-44AC-8125-F43AE6C46A7A}"/>
  </bookViews>
  <sheets>
    <sheet name="DASHBOARD" sheetId="1" r:id="rId1"/>
    <sheet name="METRICS" sheetId="2" state="hidden" r:id="rId2"/>
    <sheet name="TASKS" sheetId="3" r:id="rId3"/>
  </sheets>
  <definedNames>
    <definedName name="_xlnm._FilterDatabase" localSheetId="2" hidden="1">TASKS!$A$1:$AC$1</definedName>
    <definedName name="ACTIVE">METRICS!$D$2:$D$8</definedName>
    <definedName name="COMPLETE">METRICS!$C$2:$C$8</definedName>
    <definedName name="NOT_STARTED">METRICS!$E$2:$E$8</definedName>
    <definedName name="TENANTS">METRICS!$B$2:$B$8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7" i="2" l="1" a="1"/>
  <c r="U7" i="2" s="1"/>
  <c r="U6" i="2" a="1"/>
  <c r="U6" i="2" s="1"/>
  <c r="U5" i="2" a="1"/>
  <c r="U5" i="2" s="1"/>
  <c r="U4" i="2" a="1"/>
  <c r="U4" i="2" s="1"/>
  <c r="U3" i="2" a="1"/>
  <c r="U3" i="2" s="1"/>
  <c r="U2" i="2" a="1"/>
  <c r="U2" i="2" s="1"/>
  <c r="J2" i="2" l="1"/>
  <c r="K2" i="2" l="1"/>
  <c r="O2" i="2"/>
  <c r="Q2" i="2"/>
  <c r="R2" i="2"/>
  <c r="M2" i="2" l="1" a="1"/>
  <c r="M2" i="2" s="1"/>
  <c r="L2" i="2" a="1"/>
  <c r="L2" i="2" s="1"/>
  <c r="P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<sst xmlns="http://schemas.openxmlformats.org/spreadsheetml/2006/main" count="273" uniqueCount="89">
  <si>
    <t>TASKS</t>
  </si>
  <si>
    <t>HIGH</t>
  </si>
  <si>
    <t>MEDIUM</t>
  </si>
  <si>
    <t>LOW</t>
  </si>
  <si>
    <t>COMPLETE</t>
  </si>
  <si>
    <t>ACTIVE</t>
  </si>
  <si>
    <t>NOT STARTED</t>
  </si>
  <si>
    <t>HIGH TARGET</t>
  </si>
  <si>
    <t>% HIGH COMPLETE</t>
  </si>
  <si>
    <t>TOTAL TASKS</t>
  </si>
  <si>
    <t>ALL TASKS</t>
  </si>
  <si>
    <t>ALL COMPLETE</t>
  </si>
  <si>
    <t>ALL ACTIVE</t>
  </si>
  <si>
    <t>ALL NOT STARTED</t>
  </si>
  <si>
    <t>Create Temporary Users</t>
  </si>
  <si>
    <t>PHASE</t>
  </si>
  <si>
    <t>Backup Management Group Role Assignments</t>
  </si>
  <si>
    <t>Backup Microsoft Entra ID Role Assignments</t>
  </si>
  <si>
    <t>Backup Subscription Role Assignments</t>
  </si>
  <si>
    <t>Remove Dependancies for Suspicious Custom Domains</t>
  </si>
  <si>
    <t>Restrict Access to Microsoft Entra ID Admin Center</t>
  </si>
  <si>
    <t>Enable MFA Fraud Alert</t>
  </si>
  <si>
    <t>Activate Password Protection (Cloud Only)</t>
  </si>
  <si>
    <t>Configure Password Less Authentication Methods</t>
  </si>
  <si>
    <t>Complete Migration to Unified MFA Policy Set</t>
  </si>
  <si>
    <t>Export App Registration from Microsoft Entra ID Tenant</t>
  </si>
  <si>
    <t>Analyse Secrets and Certificates</t>
  </si>
  <si>
    <t>Delete Suspicious App Registrations</t>
  </si>
  <si>
    <t>Create an Alert Policy</t>
  </si>
  <si>
    <t>Review Antiphishing, Antispam and Antimalware Policies</t>
  </si>
  <si>
    <t>Review Safe Attachment Policies</t>
  </si>
  <si>
    <t>1. Tetsu No Kusari</t>
  </si>
  <si>
    <t>2. Gekimetsu</t>
  </si>
  <si>
    <t>3. Futoteki Foride</t>
  </si>
  <si>
    <t>4. ChŌhei</t>
  </si>
  <si>
    <t>Review Intne Applications and Scripts</t>
  </si>
  <si>
    <t>Review Compliance, Configuration and Endpoint Protection Policies</t>
  </si>
  <si>
    <t>Clean Intune Role Assignments</t>
  </si>
  <si>
    <t>Disable Legacy Authentication SharePoint Online</t>
  </si>
  <si>
    <t>Deactivate Anonymous Sharing SharePoint  Online</t>
  </si>
  <si>
    <t>Create Log Analytics Workspace</t>
  </si>
  <si>
    <t>Create Log Analytics Query Pack</t>
  </si>
  <si>
    <t>Integrate Microsoft Entra ID Logging with Log Analytics Workspace</t>
  </si>
  <si>
    <t>Activate Defender for Cloud</t>
  </si>
  <si>
    <t>5. Hayabusa No Me</t>
  </si>
  <si>
    <t>Activate Microsoft Sentinel and Configure Data Connectors</t>
  </si>
  <si>
    <t>Set up KQL Queries and Save to Log Analytics Query Pack</t>
  </si>
  <si>
    <t>6. Noburu Tora</t>
  </si>
  <si>
    <t>Create Emergency Access Users</t>
  </si>
  <si>
    <t>Setup and Enforce Authentication Strength Policies</t>
  </si>
  <si>
    <t>Enable FIDO 2 Security Keys</t>
  </si>
  <si>
    <t>Configure and Enforce Enhanced Conditinal Access Policies</t>
  </si>
  <si>
    <t>Initialise Emergency Access Users</t>
  </si>
  <si>
    <t>Register FIDO 2 Security Keys</t>
  </si>
  <si>
    <t>Configure Emergency Access User Sign-In Alert</t>
  </si>
  <si>
    <t>Create New Cloud Admins</t>
  </si>
  <si>
    <t>Remove Temporary Users</t>
  </si>
  <si>
    <t>Set-Up Tactical RBAC Subscription Role Assignments</t>
  </si>
  <si>
    <t>Perform Mass Password Reset On-Premises</t>
  </si>
  <si>
    <t>Disable [Block] Azure Portal for Non-Admins</t>
  </si>
  <si>
    <t>TOTAL HIGH</t>
  </si>
  <si>
    <t>HIGH PER TENANT</t>
  </si>
  <si>
    <t>ACTIVE PER TENANT</t>
  </si>
  <si>
    <t>PERCENTAGE</t>
  </si>
  <si>
    <t>Temporary User First Time Sign-In and Registration</t>
  </si>
  <si>
    <t>Disable Security Default Policy [Optional]</t>
  </si>
  <si>
    <t>De-Activate Entra Connect "On-Premises Synchronisation"</t>
  </si>
  <si>
    <t>Reset Privileged User Passwords and Deactivate Accounts</t>
  </si>
  <si>
    <t>Remove Compromised Authentication Methods</t>
  </si>
  <si>
    <t>Revoke Refresh Tokens for Privileged Users</t>
  </si>
  <si>
    <t>Clean Microsoft Entra ID "Eligible" Role Assignments</t>
  </si>
  <si>
    <t>Clean Microsoft Entra ID "Permanent" Role Assignments</t>
  </si>
  <si>
    <t>Clean Azure RBAC Management Group Role Assignments</t>
  </si>
  <si>
    <t>Clean Azure RBAC Subscription Role Assignments</t>
  </si>
  <si>
    <t>Set Authentication Type to 'Managed' for Suspicious Custom Domains [Optional]</t>
  </si>
  <si>
    <t>Delete Suspicious Custom Domains [Optional]</t>
  </si>
  <si>
    <t>Stop Suspicious Virtual Machines [Optional]</t>
  </si>
  <si>
    <t>Export Attached Virtual Disks for Forensic Examination [Optional]</t>
  </si>
  <si>
    <t>Delete Suspicious Virtual Machines [Optional]</t>
  </si>
  <si>
    <t>Prohibit Guest Invitations</t>
  </si>
  <si>
    <t>Analyse Permissions and Revoke Suspicious App Registration Privileges</t>
  </si>
  <si>
    <t>Backup Exchange Online Role Assignments [Optional]</t>
  </si>
  <si>
    <t>Clean Exchange Online Role Assignments [Optional]</t>
  </si>
  <si>
    <t>Review Remote Domain Policies [Optional]</t>
  </si>
  <si>
    <t>Create Temporary Access Pass (Single / Bulk) For Problematic Accounts</t>
  </si>
  <si>
    <t>PRIORITY</t>
  </si>
  <si>
    <t>Set-up Tenant Guard Rails - Conditional Access Policies</t>
  </si>
  <si>
    <t>&lt;Name&gt;</t>
  </si>
  <si>
    <t>ACCOUNTABLE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</si>
</sst>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theme="1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393939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0" fillId="3" borderId="0" xfId="0" applyFill="1"/>
    <xf numFmtId="0" fontId="4" fillId="0" borderId="0" xfId="0" applyFont="1" applyAlignment="1">
      <alignment horizontal="left" vertical="center" indent="1"/>
    </xf>
    <xf numFmtId="0" fontId="0" fillId="4" borderId="0" xfId="0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9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6" fillId="0" borderId="0" xfId="0" applyFont="1" applyAlignment="1">
      <alignment horizontal="left" vertical="center"/>
    </xf>
    <xf numFmtId="0" fontId="0" fillId="4" borderId="0" xfId="0" applyFill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4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0" fillId="0" borderId="0" xfId="0" applyFill="1"/>
  </cellXfs>
  <cellStyles count="1">
    <cellStyle name="Normal" xfId="0" builtinId="0"/>
  </cellStyles>
  <dxfs count="18">
    <dxf>
      <font>
        <color rgb="FFFFFFFF"/>
      </font>
      <fill>
        <patternFill>
          <bgColor rgb="FF7030A0"/>
        </patternFill>
      </fill>
    </dxf>
    <dxf>
      <font>
        <color rgb="FFFFFFFF"/>
      </font>
      <fill>
        <patternFill>
          <bgColor rgb="FF92D050"/>
        </patternFill>
      </fill>
    </dxf>
    <dxf>
      <font>
        <color rgb="FFFFFFFF"/>
      </font>
      <fill>
        <patternFill>
          <bgColor rgb="FF00B050"/>
        </patternFill>
      </fill>
    </dxf>
    <dxf>
      <font>
        <color rgb="FFFFFFFF"/>
      </font>
      <fill>
        <patternFill>
          <bgColor rgb="FF7030A0"/>
        </patternFill>
      </fill>
    </dxf>
    <dxf>
      <font>
        <color rgb="FFFFFFFF"/>
      </font>
      <fill>
        <patternFill>
          <bgColor rgb="FF92D050"/>
        </patternFill>
      </fill>
    </dxf>
    <dxf>
      <font>
        <color rgb="FFFFFFFF"/>
      </font>
      <fill>
        <patternFill>
          <bgColor rgb="FF00B050"/>
        </patternFill>
      </fill>
    </dxf>
    <dxf>
      <font>
        <color rgb="FFFFFFFF"/>
      </font>
      <fill>
        <patternFill>
          <bgColor rgb="FF7030A0"/>
        </patternFill>
      </fill>
    </dxf>
    <dxf>
      <font>
        <color rgb="FFFFFFFF"/>
      </font>
      <fill>
        <patternFill>
          <bgColor rgb="FF92D050"/>
        </patternFill>
      </fill>
    </dxf>
    <dxf>
      <font>
        <color rgb="FFFFFFFF"/>
      </font>
      <fill>
        <patternFill>
          <bgColor rgb="FF00B050"/>
        </patternFill>
      </fill>
    </dxf>
    <dxf>
      <font>
        <color rgb="FFFFFFFF"/>
      </font>
      <fill>
        <patternFill>
          <bgColor rgb="FF7030A0"/>
        </patternFill>
      </fill>
    </dxf>
    <dxf>
      <font>
        <color rgb="FFFFFFFF"/>
      </font>
      <fill>
        <patternFill>
          <bgColor rgb="FF92D050"/>
        </patternFill>
      </fill>
    </dxf>
    <dxf>
      <font>
        <color rgb="FFFFFFFF"/>
      </font>
      <fill>
        <patternFill>
          <bgColor rgb="FF00B050"/>
        </patternFill>
      </fill>
    </dxf>
    <dxf>
      <font>
        <color rgb="FFFFFFFF"/>
      </font>
      <fill>
        <patternFill>
          <bgColor rgb="FF7030A0"/>
        </patternFill>
      </fill>
    </dxf>
    <dxf>
      <font>
        <color rgb="FFFFFFFF"/>
      </font>
      <fill>
        <patternFill>
          <bgColor rgb="FF92D050"/>
        </patternFill>
      </fill>
    </dxf>
    <dxf>
      <font>
        <color rgb="FFFFFFFF"/>
      </font>
      <fill>
        <patternFill>
          <bgColor rgb="FF00B050"/>
        </patternFill>
      </fill>
    </dxf>
    <dxf>
      <font>
        <color rgb="FFFFFFFF"/>
      </font>
      <fill>
        <patternFill>
          <bgColor rgb="FF7030A0"/>
        </patternFill>
      </fill>
    </dxf>
    <dxf>
      <font>
        <color rgb="FFFFFFFF"/>
      </font>
      <fill>
        <patternFill>
          <bgColor rgb="FF92D050"/>
        </patternFill>
      </fill>
    </dxf>
    <dxf>
      <font>
        <color rgb="FFFFFFFF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156082"/>
      <color rgb="FF262626"/>
      <color rgb="FF3939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994328155132258E-2"/>
          <c:y val="4.2051283903659517E-2"/>
          <c:w val="0.92624985792819625"/>
          <c:h val="0.78212317745160187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METRICS!$C$1</c:f>
              <c:strCache>
                <c:ptCount val="1"/>
                <c:pt idx="0">
                  <c:v>COMPLETE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METRICS!$B$2:$B$8</c:f>
              <c:numCache>
                <c:formatCode>General</c:formatCode>
                <c:ptCount val="7"/>
              </c:numCache>
            </c:numRef>
          </c:cat>
          <c:val>
            <c:numRef>
              <c:f>METRICS!$C$2:$C$8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B34A-41CF-8819-303FE5104645}"/>
            </c:ext>
          </c:extLst>
        </c:ser>
        <c:ser>
          <c:idx val="1"/>
          <c:order val="1"/>
          <c:tx>
            <c:strRef>
              <c:f>METRICS!$D$1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METRICS!$B$2:$B$8</c:f>
              <c:numCache>
                <c:formatCode>General</c:formatCode>
                <c:ptCount val="7"/>
              </c:numCache>
            </c:numRef>
          </c:cat>
          <c:val>
            <c:numRef>
              <c:f>METRICS!$D$2:$D$8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B34A-41CF-8819-303FE5104645}"/>
            </c:ext>
          </c:extLst>
        </c:ser>
        <c:ser>
          <c:idx val="2"/>
          <c:order val="2"/>
          <c:tx>
            <c:strRef>
              <c:f>METRICS!$E$1</c:f>
              <c:strCache>
                <c:ptCount val="1"/>
                <c:pt idx="0">
                  <c:v>NOT STARTED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METRICS!$B$2:$B$8</c:f>
              <c:numCache>
                <c:formatCode>General</c:formatCode>
                <c:ptCount val="7"/>
              </c:numCache>
            </c:numRef>
          </c:cat>
          <c:val>
            <c:numRef>
              <c:f>METRICS!$E$2:$E$8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B34A-41CF-8819-303FE5104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overlap val="100"/>
        <c:axId val="1244133232"/>
        <c:axId val="1244136112"/>
      </c:barChart>
      <c:lineChart>
        <c:grouping val="standard"/>
        <c:varyColors val="0"/>
        <c:ser>
          <c:idx val="4"/>
          <c:order val="3"/>
          <c:tx>
            <c:strRef>
              <c:f>METRICS!$H$1</c:f>
              <c:strCache>
                <c:ptCount val="1"/>
                <c:pt idx="0">
                  <c:v>TOTAL TASKS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METRICS!$B$2:$B$8</c:f>
              <c:numCache>
                <c:formatCode>General</c:formatCode>
                <c:ptCount val="7"/>
              </c:numCache>
            </c:numRef>
          </c:cat>
          <c:val>
            <c:numRef>
              <c:f>METRICS!$H$2:$H$8</c:f>
              <c:numCache>
                <c:formatCode>General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AFC-4B21-A726-1B216FFF5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4133232"/>
        <c:axId val="1244136112"/>
      </c:lineChart>
      <c:lineChart>
        <c:grouping val="standard"/>
        <c:varyColors val="0"/>
        <c:ser>
          <c:idx val="3"/>
          <c:order val="4"/>
          <c:tx>
            <c:strRef>
              <c:f>METRICS!$F$1</c:f>
              <c:strCache>
                <c:ptCount val="1"/>
                <c:pt idx="0">
                  <c:v>HIGH TARGET</c:v>
                </c:pt>
              </c:strCache>
            </c:strRef>
          </c:tx>
          <c:spPr>
            <a:ln w="34925" cap="rnd">
              <a:solidFill>
                <a:schemeClr val="tx2">
                  <a:lumMod val="10000"/>
                  <a:lumOff val="90000"/>
                </a:schemeClr>
              </a:solidFill>
              <a:prstDash val="dash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METRICS!$B$2:$B$8</c:f>
              <c:numCache>
                <c:formatCode>General</c:formatCode>
                <c:ptCount val="7"/>
              </c:numCache>
            </c:numRef>
          </c:cat>
          <c:val>
            <c:numRef>
              <c:f>METRICS!$F$2:$F$8</c:f>
              <c:numCache>
                <c:formatCode>0%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AFC-4B21-A726-1B216FFF5BB6}"/>
            </c:ext>
          </c:extLst>
        </c:ser>
        <c:ser>
          <c:idx val="5"/>
          <c:order val="5"/>
          <c:tx>
            <c:strRef>
              <c:f>METRICS!$G$1</c:f>
              <c:strCache>
                <c:ptCount val="1"/>
                <c:pt idx="0">
                  <c:v>% HIGH COMPLETE</c:v>
                </c:pt>
              </c:strCache>
            </c:strRef>
          </c:tx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METRICS!$B$2:$B$8</c:f>
              <c:numCache>
                <c:formatCode>General</c:formatCode>
                <c:ptCount val="7"/>
              </c:numCache>
            </c:numRef>
          </c:cat>
          <c:val>
            <c:numRef>
              <c:f>METRICS!$G$2:$G$8</c:f>
              <c:numCache>
                <c:formatCode>0%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AFC-4B21-A726-1B216FFF5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642880"/>
        <c:axId val="1600642400"/>
      </c:lineChart>
      <c:catAx>
        <c:axId val="124413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244136112"/>
        <c:crosses val="autoZero"/>
        <c:auto val="1"/>
        <c:lblAlgn val="ctr"/>
        <c:lblOffset val="300"/>
        <c:noMultiLvlLbl val="0"/>
      </c:catAx>
      <c:valAx>
        <c:axId val="1244136112"/>
        <c:scaling>
          <c:orientation val="minMax"/>
        </c:scaling>
        <c:delete val="1"/>
        <c:axPos val="r"/>
        <c:numFmt formatCode="0%" sourceLinked="0"/>
        <c:majorTickMark val="none"/>
        <c:minorTickMark val="none"/>
        <c:tickLblPos val="low"/>
        <c:crossAx val="1244133232"/>
        <c:crosses val="max"/>
        <c:crossBetween val="between"/>
        <c:majorUnit val="0.5"/>
      </c:valAx>
      <c:valAx>
        <c:axId val="1600642400"/>
        <c:scaling>
          <c:orientation val="minMax"/>
          <c:max val="1"/>
        </c:scaling>
        <c:delete val="0"/>
        <c:axPos val="r"/>
        <c:numFmt formatCode="0%" sourceLinked="0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600642880"/>
        <c:crosses val="max"/>
        <c:crossBetween val="between"/>
        <c:minorUnit val="0.5"/>
      </c:valAx>
      <c:catAx>
        <c:axId val="1600642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00642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layout>
        <c:manualLayout>
          <c:xMode val="edge"/>
          <c:yMode val="edge"/>
          <c:x val="0.20243414036893609"/>
          <c:y val="0.93124135060886415"/>
          <c:w val="0.562772108354884"/>
          <c:h val="6.30773496175872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LID4096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METRICS!$U$1</c:f>
              <c:strCache>
                <c:ptCount val="1"/>
                <c:pt idx="0">
                  <c:v>PERCENTAGE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METRICS!$T$2:$T$7</c15:sqref>
                  </c15:fullRef>
                </c:ext>
              </c:extLst>
              <c:f>METRICS!$T$2</c:f>
              <c:strCache>
                <c:ptCount val="1"/>
                <c:pt idx="0">
                  <c:v>1. Tetsu No Kusari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METRICS!$U$2:$U$7</c15:sqref>
                  </c15:fullRef>
                </c:ext>
              </c:extLst>
              <c:f>METRICS!$U$2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8-493A-8DC7-0D055F1E8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1223839"/>
        <c:axId val="81264639"/>
      </c:barChart>
      <c:catAx>
        <c:axId val="812238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1264639"/>
        <c:crosses val="autoZero"/>
        <c:auto val="1"/>
        <c:lblAlgn val="ctr"/>
        <c:lblOffset val="100"/>
        <c:noMultiLvlLbl val="0"/>
      </c:catAx>
      <c:valAx>
        <c:axId val="81264639"/>
        <c:scaling>
          <c:orientation val="minMax"/>
          <c:max val="1"/>
        </c:scaling>
        <c:delete val="1"/>
        <c:axPos val="b"/>
        <c:numFmt formatCode="0%" sourceLinked="1"/>
        <c:majorTickMark val="none"/>
        <c:minorTickMark val="none"/>
        <c:tickLblPos val="nextTo"/>
        <c:crossAx val="8122383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METRICS!$U$1</c:f>
              <c:strCache>
                <c:ptCount val="1"/>
                <c:pt idx="0">
                  <c:v>PERCENTAGE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C88-40AC-B557-754491DF6C87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METRICS!$T$2:$T$7</c15:sqref>
                  </c15:fullRef>
                </c:ext>
              </c:extLst>
              <c:f>METRICS!$T$3</c:f>
              <c:strCache>
                <c:ptCount val="1"/>
                <c:pt idx="0">
                  <c:v>2. Gekimetsu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METRICS!$U$2:$U$7</c15:sqref>
                  </c15:fullRef>
                </c:ext>
              </c:extLst>
              <c:f>METRICS!$U$3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88-40AC-B557-754491DF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1223839"/>
        <c:axId val="81264639"/>
      </c:barChart>
      <c:catAx>
        <c:axId val="812238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1264639"/>
        <c:crosses val="autoZero"/>
        <c:auto val="1"/>
        <c:lblAlgn val="ctr"/>
        <c:lblOffset val="100"/>
        <c:noMultiLvlLbl val="0"/>
      </c:catAx>
      <c:valAx>
        <c:axId val="81264639"/>
        <c:scaling>
          <c:orientation val="minMax"/>
          <c:max val="1"/>
        </c:scaling>
        <c:delete val="1"/>
        <c:axPos val="b"/>
        <c:numFmt formatCode="0%" sourceLinked="1"/>
        <c:majorTickMark val="none"/>
        <c:minorTickMark val="none"/>
        <c:tickLblPos val="nextTo"/>
        <c:crossAx val="8122383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METRICS!$U$1</c:f>
              <c:strCache>
                <c:ptCount val="1"/>
                <c:pt idx="0">
                  <c:v>PERCENTAGE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A8-49E1-A13E-5E8D01640A34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METRICS!$T$2:$T$7</c15:sqref>
                  </c15:fullRef>
                </c:ext>
              </c:extLst>
              <c:f>METRICS!$T$4</c:f>
              <c:strCache>
                <c:ptCount val="1"/>
                <c:pt idx="0">
                  <c:v>3. Futoteki Foride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METRICS!$U$2:$U$7</c15:sqref>
                  </c15:fullRef>
                </c:ext>
              </c:extLst>
              <c:f>METRICS!$U$4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METRICS!$U$3</c15:sqref>
                  <c15:spPr xmlns:c15="http://schemas.microsoft.com/office/drawing/2012/chart">
                    <a:solidFill>
                      <a:srgbClr val="00B050"/>
                    </a:solidFill>
                    <a:ln>
                      <a:noFill/>
                    </a:ln>
                    <a:effectLst/>
                  </c15:spPr>
                  <c15:invertIfNegative val="0"/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2-8EA8-49E1-A13E-5E8D01640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1223839"/>
        <c:axId val="81264639"/>
      </c:barChart>
      <c:catAx>
        <c:axId val="812238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1264639"/>
        <c:crosses val="autoZero"/>
        <c:auto val="1"/>
        <c:lblAlgn val="ctr"/>
        <c:lblOffset val="100"/>
        <c:noMultiLvlLbl val="0"/>
      </c:catAx>
      <c:valAx>
        <c:axId val="81264639"/>
        <c:scaling>
          <c:orientation val="minMax"/>
          <c:max val="1"/>
        </c:scaling>
        <c:delete val="1"/>
        <c:axPos val="b"/>
        <c:numFmt formatCode="0%" sourceLinked="1"/>
        <c:majorTickMark val="none"/>
        <c:minorTickMark val="none"/>
        <c:tickLblPos val="nextTo"/>
        <c:crossAx val="8122383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METRICS!$U$1</c:f>
              <c:strCache>
                <c:ptCount val="1"/>
                <c:pt idx="0">
                  <c:v>PERCENTAGE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D08-451C-9B5D-91C0B8F9F62E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METRICS!$T$2:$T$7</c15:sqref>
                  </c15:fullRef>
                </c:ext>
              </c:extLst>
              <c:f>METRICS!$T$5</c:f>
              <c:strCache>
                <c:ptCount val="1"/>
                <c:pt idx="0">
                  <c:v>4. ChŌhei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METRICS!$U$2:$U$7</c15:sqref>
                  </c15:fullRef>
                </c:ext>
              </c:extLst>
              <c:f>METRICS!$U$5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METRICS!$U$3</c15:sqref>
                  <c15:spPr xmlns:c15="http://schemas.microsoft.com/office/drawing/2012/chart">
                    <a:solidFill>
                      <a:srgbClr val="00B050"/>
                    </a:solidFill>
                    <a:ln>
                      <a:noFill/>
                    </a:ln>
                    <a:effectLst/>
                  </c15:spPr>
                  <c15:invertIfNegative val="0"/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2-DD08-451C-9B5D-91C0B8F9F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1223839"/>
        <c:axId val="81264639"/>
      </c:barChart>
      <c:catAx>
        <c:axId val="812238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1264639"/>
        <c:crosses val="autoZero"/>
        <c:auto val="1"/>
        <c:lblAlgn val="ctr"/>
        <c:lblOffset val="100"/>
        <c:noMultiLvlLbl val="0"/>
      </c:catAx>
      <c:valAx>
        <c:axId val="81264639"/>
        <c:scaling>
          <c:orientation val="minMax"/>
          <c:max val="1"/>
        </c:scaling>
        <c:delete val="1"/>
        <c:axPos val="b"/>
        <c:numFmt formatCode="0%" sourceLinked="1"/>
        <c:majorTickMark val="none"/>
        <c:minorTickMark val="none"/>
        <c:tickLblPos val="nextTo"/>
        <c:crossAx val="8122383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METRICS!$U$1</c:f>
              <c:strCache>
                <c:ptCount val="1"/>
                <c:pt idx="0">
                  <c:v>PERCENTAGE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2C6-4A39-9C2A-5A5B80B2AB23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METRICS!$T$2:$T$7</c15:sqref>
                  </c15:fullRef>
                </c:ext>
              </c:extLst>
              <c:f>METRICS!$T$6</c:f>
              <c:strCache>
                <c:ptCount val="1"/>
                <c:pt idx="0">
                  <c:v>5. Hayabusa No Me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METRICS!$U$2:$U$7</c15:sqref>
                  </c15:fullRef>
                </c:ext>
              </c:extLst>
              <c:f>METRICS!$U$6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METRICS!$U$3</c15:sqref>
                  <c15:spPr xmlns:c15="http://schemas.microsoft.com/office/drawing/2012/chart">
                    <a:solidFill>
                      <a:srgbClr val="00B050"/>
                    </a:solidFill>
                    <a:ln>
                      <a:noFill/>
                    </a:ln>
                    <a:effectLst/>
                  </c15:spPr>
                  <c15:invertIfNegative val="0"/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2-12C6-4A39-9C2A-5A5B80B2A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1223839"/>
        <c:axId val="81264639"/>
      </c:barChart>
      <c:catAx>
        <c:axId val="812238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1264639"/>
        <c:crosses val="autoZero"/>
        <c:auto val="1"/>
        <c:lblAlgn val="ctr"/>
        <c:lblOffset val="100"/>
        <c:noMultiLvlLbl val="0"/>
      </c:catAx>
      <c:valAx>
        <c:axId val="81264639"/>
        <c:scaling>
          <c:orientation val="minMax"/>
          <c:max val="1"/>
        </c:scaling>
        <c:delete val="1"/>
        <c:axPos val="b"/>
        <c:numFmt formatCode="0%" sourceLinked="1"/>
        <c:majorTickMark val="none"/>
        <c:minorTickMark val="none"/>
        <c:tickLblPos val="nextTo"/>
        <c:crossAx val="8122383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METRICS!$U$1</c:f>
              <c:strCache>
                <c:ptCount val="1"/>
                <c:pt idx="0">
                  <c:v>PERCENTAGE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6C1-473F-996D-76880737F263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METRICS!$T$2:$T$7</c15:sqref>
                  </c15:fullRef>
                </c:ext>
              </c:extLst>
              <c:f>METRICS!$T$7</c:f>
              <c:strCache>
                <c:ptCount val="1"/>
                <c:pt idx="0">
                  <c:v>6. Noburu Tora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METRICS!$U$2:$U$7</c15:sqref>
                  </c15:fullRef>
                </c:ext>
              </c:extLst>
              <c:f>METRICS!$U$7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METRICS!$U$3</c15:sqref>
                  <c15:spPr xmlns:c15="http://schemas.microsoft.com/office/drawing/2012/chart">
                    <a:solidFill>
                      <a:srgbClr val="00B050"/>
                    </a:solidFill>
                    <a:ln>
                      <a:noFill/>
                    </a:ln>
                    <a:effectLst/>
                  </c15:spPr>
                  <c15:invertIfNegative val="0"/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2-86C1-473F-996D-76880737F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1223839"/>
        <c:axId val="81264639"/>
      </c:barChart>
      <c:catAx>
        <c:axId val="812238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1264639"/>
        <c:crosses val="autoZero"/>
        <c:auto val="1"/>
        <c:lblAlgn val="ctr"/>
        <c:lblOffset val="100"/>
        <c:noMultiLvlLbl val="0"/>
      </c:catAx>
      <c:valAx>
        <c:axId val="81264639"/>
        <c:scaling>
          <c:orientation val="minMax"/>
          <c:max val="1"/>
        </c:scaling>
        <c:delete val="1"/>
        <c:axPos val="b"/>
        <c:numFmt formatCode="0%" sourceLinked="1"/>
        <c:majorTickMark val="none"/>
        <c:minorTickMark val="none"/>
        <c:tickLblPos val="nextTo"/>
        <c:crossAx val="8122383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80963</xdr:colOff>
          <xdr:row>12</xdr:row>
          <xdr:rowOff>85725</xdr:rowOff>
        </xdr:from>
        <xdr:to>
          <xdr:col>1</xdr:col>
          <xdr:colOff>309563</xdr:colOff>
          <xdr:row>13</xdr:row>
          <xdr:rowOff>138113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Aptos Narrow"/>
                </a:rPr>
                <a:t>Add Tenant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12</xdr:row>
          <xdr:rowOff>85725</xdr:rowOff>
        </xdr:from>
        <xdr:to>
          <xdr:col>2</xdr:col>
          <xdr:colOff>571500</xdr:colOff>
          <xdr:row>13</xdr:row>
          <xdr:rowOff>138113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</xdr:row>
      <xdr:rowOff>133583</xdr:rowOff>
    </xdr:from>
    <xdr:to>
      <xdr:col>2</xdr:col>
      <xdr:colOff>569175</xdr:colOff>
      <xdr:row>12</xdr:row>
      <xdr:rowOff>75504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0" y="317197"/>
          <a:ext cx="1865952" cy="1961680"/>
          <a:chOff x="0" y="92927"/>
          <a:chExt cx="1870151" cy="1922424"/>
        </a:xfrm>
      </xdr:grpSpPr>
      <xdr:pic>
        <xdr:nvPicPr>
          <xdr:cNvPr id="1036" name="Picture 1035" descr="A graphic of a person in a suit with a sword&#10;&#10;Description automatically generated">
            <a:extLst>
              <a:ext uri="{FF2B5EF4-FFF2-40B4-BE49-F238E27FC236}">
                <a16:creationId xmlns:a16="http://schemas.microsoft.com/office/drawing/2014/main" id="{00000000-0008-0000-0000-00000C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92927"/>
            <a:ext cx="1870151" cy="1922424"/>
          </a:xfrm>
          <a:prstGeom prst="rect">
            <a:avLst/>
          </a:prstGeom>
        </xdr:spPr>
      </xdr:pic>
      <xdr:sp macro="" textlink="">
        <xdr:nvSpPr>
          <xdr:cNvPr id="3" name="Hexagon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66790" y="310724"/>
            <a:ext cx="1788841" cy="1457791"/>
          </a:xfrm>
          <a:prstGeom prst="hexagon">
            <a:avLst>
              <a:gd name="adj" fmla="val 29221"/>
              <a:gd name="vf" fmla="val 115470"/>
            </a:avLst>
          </a:prstGeom>
          <a:noFill/>
          <a:ln w="28575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LID4096" sz="1100"/>
          </a:p>
        </xdr:txBody>
      </xdr:sp>
    </xdr:grpSp>
    <xdr:clientData/>
  </xdr:twoCellAnchor>
  <xdr:twoCellAnchor>
    <xdr:from>
      <xdr:col>2</xdr:col>
      <xdr:colOff>470440</xdr:colOff>
      <xdr:row>0</xdr:row>
      <xdr:rowOff>140785</xdr:rowOff>
    </xdr:from>
    <xdr:to>
      <xdr:col>16</xdr:col>
      <xdr:colOff>609831</xdr:colOff>
      <xdr:row>3</xdr:row>
      <xdr:rowOff>58079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771416" y="140785"/>
          <a:ext cx="9246220" cy="457432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3600" b="1">
              <a:solidFill>
                <a:schemeClr val="bg1"/>
              </a:solidFill>
            </a:rPr>
            <a:t>THE</a:t>
          </a:r>
          <a:r>
            <a:rPr lang="en-GB" sz="3600" b="1" baseline="0">
              <a:solidFill>
                <a:schemeClr val="bg1"/>
              </a:solidFill>
            </a:rPr>
            <a:t> GUNRYAKU - DASHBOARD</a:t>
          </a:r>
          <a:endParaRPr lang="LID4096" sz="36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336860</xdr:colOff>
      <xdr:row>8</xdr:row>
      <xdr:rowOff>40655</xdr:rowOff>
    </xdr:from>
    <xdr:to>
      <xdr:col>4</xdr:col>
      <xdr:colOff>453019</xdr:colOff>
      <xdr:row>8</xdr:row>
      <xdr:rowOff>40655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2288323" y="1481021"/>
          <a:ext cx="766647" cy="0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553148</xdr:colOff>
      <xdr:row>8</xdr:row>
      <xdr:rowOff>42048</xdr:rowOff>
    </xdr:from>
    <xdr:to>
      <xdr:col>7</xdr:col>
      <xdr:colOff>18819</xdr:colOff>
      <xdr:row>8</xdr:row>
      <xdr:rowOff>42048</xdr:rowOff>
    </xdr:to>
    <xdr:cxnSp macro="">
      <xdr:nvCxnSpPr>
        <xdr:cNvPr id="1035" name="Straight Connector 1034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CxnSpPr/>
      </xdr:nvCxnSpPr>
      <xdr:spPr>
        <a:xfrm>
          <a:off x="3805587" y="1482414"/>
          <a:ext cx="766647" cy="0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130563</xdr:colOff>
      <xdr:row>8</xdr:row>
      <xdr:rowOff>43442</xdr:rowOff>
    </xdr:from>
    <xdr:to>
      <xdr:col>9</xdr:col>
      <xdr:colOff>246722</xdr:colOff>
      <xdr:row>8</xdr:row>
      <xdr:rowOff>43442</xdr:rowOff>
    </xdr:to>
    <xdr:cxnSp macro="">
      <xdr:nvCxnSpPr>
        <xdr:cNvPr id="1046" name="Straight Connector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CxnSpPr/>
      </xdr:nvCxnSpPr>
      <xdr:spPr>
        <a:xfrm>
          <a:off x="5334465" y="1483808"/>
          <a:ext cx="766647" cy="0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352657</xdr:colOff>
      <xdr:row>8</xdr:row>
      <xdr:rowOff>39028</xdr:rowOff>
    </xdr:from>
    <xdr:to>
      <xdr:col>11</xdr:col>
      <xdr:colOff>468816</xdr:colOff>
      <xdr:row>8</xdr:row>
      <xdr:rowOff>39028</xdr:rowOff>
    </xdr:to>
    <xdr:cxnSp macro="">
      <xdr:nvCxnSpPr>
        <xdr:cNvPr id="1083" name="Straight Connector 1082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CxnSpPr/>
      </xdr:nvCxnSpPr>
      <xdr:spPr>
        <a:xfrm>
          <a:off x="6857535" y="1479394"/>
          <a:ext cx="766647" cy="0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816</xdr:colOff>
      <xdr:row>8</xdr:row>
      <xdr:rowOff>40422</xdr:rowOff>
    </xdr:from>
    <xdr:to>
      <xdr:col>14</xdr:col>
      <xdr:colOff>116975</xdr:colOff>
      <xdr:row>8</xdr:row>
      <xdr:rowOff>40422</xdr:rowOff>
    </xdr:to>
    <xdr:cxnSp macro="">
      <xdr:nvCxnSpPr>
        <xdr:cNvPr id="1084" name="Straight Connector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CxnSpPr/>
      </xdr:nvCxnSpPr>
      <xdr:spPr>
        <a:xfrm>
          <a:off x="8457157" y="1480788"/>
          <a:ext cx="766647" cy="0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240333</xdr:colOff>
      <xdr:row>8</xdr:row>
      <xdr:rowOff>47624</xdr:rowOff>
    </xdr:from>
    <xdr:to>
      <xdr:col>16</xdr:col>
      <xdr:colOff>356492</xdr:colOff>
      <xdr:row>8</xdr:row>
      <xdr:rowOff>47624</xdr:rowOff>
    </xdr:to>
    <xdr:cxnSp macro="">
      <xdr:nvCxnSpPr>
        <xdr:cNvPr id="1088" name="Straight Connector 1087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CxnSpPr/>
      </xdr:nvCxnSpPr>
      <xdr:spPr>
        <a:xfrm>
          <a:off x="9997650" y="1487990"/>
          <a:ext cx="766647" cy="0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427578</xdr:colOff>
      <xdr:row>8</xdr:row>
      <xdr:rowOff>49017</xdr:rowOff>
    </xdr:from>
    <xdr:to>
      <xdr:col>18</xdr:col>
      <xdr:colOff>543738</xdr:colOff>
      <xdr:row>8</xdr:row>
      <xdr:rowOff>49017</xdr:rowOff>
    </xdr:to>
    <xdr:cxnSp macro="">
      <xdr:nvCxnSpPr>
        <xdr:cNvPr id="1089" name="Straight Connector 1088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CxnSpPr/>
      </xdr:nvCxnSpPr>
      <xdr:spPr>
        <a:xfrm>
          <a:off x="11485871" y="1489383"/>
          <a:ext cx="766647" cy="0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51459</xdr:colOff>
      <xdr:row>8</xdr:row>
      <xdr:rowOff>44603</xdr:rowOff>
    </xdr:from>
    <xdr:to>
      <xdr:col>21</xdr:col>
      <xdr:colOff>167618</xdr:colOff>
      <xdr:row>8</xdr:row>
      <xdr:rowOff>44603</xdr:rowOff>
    </xdr:to>
    <xdr:cxnSp macro="">
      <xdr:nvCxnSpPr>
        <xdr:cNvPr id="1090" name="Straight Connector 1089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CxnSpPr/>
      </xdr:nvCxnSpPr>
      <xdr:spPr>
        <a:xfrm>
          <a:off x="13061215" y="1484969"/>
          <a:ext cx="766647" cy="0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86278</xdr:colOff>
      <xdr:row>2</xdr:row>
      <xdr:rowOff>162622</xdr:rowOff>
    </xdr:from>
    <xdr:to>
      <xdr:col>12</xdr:col>
      <xdr:colOff>86278</xdr:colOff>
      <xdr:row>10</xdr:row>
      <xdr:rowOff>156814</xdr:rowOff>
    </xdr:to>
    <xdr:cxnSp macro="">
      <xdr:nvCxnSpPr>
        <xdr:cNvPr id="1097" name="Straight Connector 1096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CxnSpPr/>
      </xdr:nvCxnSpPr>
      <xdr:spPr>
        <a:xfrm>
          <a:off x="7850795" y="523915"/>
          <a:ext cx="0" cy="1439365"/>
        </a:xfrm>
        <a:prstGeom prst="line">
          <a:avLst/>
        </a:prstGeom>
        <a:ln>
          <a:solidFill>
            <a:srgbClr val="26262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112186</xdr:colOff>
      <xdr:row>2</xdr:row>
      <xdr:rowOff>89314</xdr:rowOff>
    </xdr:from>
    <xdr:to>
      <xdr:col>12</xdr:col>
      <xdr:colOff>112186</xdr:colOff>
      <xdr:row>10</xdr:row>
      <xdr:rowOff>83505</xdr:rowOff>
    </xdr:to>
    <xdr:cxnSp macro="">
      <xdr:nvCxnSpPr>
        <xdr:cNvPr id="1098" name="Straight Connector 1097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CxnSpPr/>
      </xdr:nvCxnSpPr>
      <xdr:spPr>
        <a:xfrm>
          <a:off x="7876703" y="450607"/>
          <a:ext cx="0" cy="1439364"/>
        </a:xfrm>
        <a:prstGeom prst="line">
          <a:avLst/>
        </a:prstGeom>
        <a:ln>
          <a:solidFill>
            <a:srgbClr val="26262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614599</xdr:colOff>
      <xdr:row>12</xdr:row>
      <xdr:rowOff>93311</xdr:rowOff>
    </xdr:from>
    <xdr:to>
      <xdr:col>17</xdr:col>
      <xdr:colOff>15164</xdr:colOff>
      <xdr:row>31</xdr:row>
      <xdr:rowOff>74165</xdr:rowOff>
    </xdr:to>
    <xdr:grpSp>
      <xdr:nvGrpSpPr>
        <xdr:cNvPr id="1180" name="Group 1179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GrpSpPr/>
      </xdr:nvGrpSpPr>
      <xdr:grpSpPr>
        <a:xfrm>
          <a:off x="1911376" y="2296684"/>
          <a:ext cx="9126394" cy="3469529"/>
          <a:chOff x="1906496" y="2261070"/>
          <a:chExt cx="9089789" cy="3413139"/>
        </a:xfrm>
      </xdr:grpSpPr>
      <xdr:graphicFrame macro="">
        <xdr:nvGraphicFramePr>
          <xdr:cNvPr id="1040" name="Chart 1039">
            <a:extLst>
              <a:ext uri="{FF2B5EF4-FFF2-40B4-BE49-F238E27FC236}">
                <a16:creationId xmlns:a16="http://schemas.microsoft.com/office/drawing/2014/main" id="{00000000-0008-0000-0000-000010040000}"/>
              </a:ext>
            </a:extLst>
          </xdr:cNvPr>
          <xdr:cNvGraphicFramePr>
            <a:graphicFrameLocks noChangeAspect="1"/>
          </xdr:cNvGraphicFramePr>
        </xdr:nvGraphicFramePr>
        <xdr:xfrm>
          <a:off x="1906496" y="2265167"/>
          <a:ext cx="9089789" cy="34090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1179" name="Rectangle 1178">
            <a:extLst>
              <a:ext uri="{FF2B5EF4-FFF2-40B4-BE49-F238E27FC236}">
                <a16:creationId xmlns:a16="http://schemas.microsoft.com/office/drawing/2014/main" id="{00000000-0008-0000-0000-00009B040000}"/>
              </a:ext>
            </a:extLst>
          </xdr:cNvPr>
          <xdr:cNvSpPr/>
        </xdr:nvSpPr>
        <xdr:spPr>
          <a:xfrm>
            <a:off x="1926896" y="2261070"/>
            <a:ext cx="9025101" cy="3387364"/>
          </a:xfrm>
          <a:prstGeom prst="rect">
            <a:avLst/>
          </a:prstGeom>
          <a:noFill/>
          <a:ln>
            <a:solidFill>
              <a:srgbClr val="15608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LID4096" sz="1100"/>
          </a:p>
        </xdr:txBody>
      </xdr:sp>
    </xdr:grpSp>
    <xdr:clientData/>
  </xdr:twoCellAnchor>
  <xdr:twoCellAnchor>
    <xdr:from>
      <xdr:col>0</xdr:col>
      <xdr:colOff>80494</xdr:colOff>
      <xdr:row>13</xdr:row>
      <xdr:rowOff>159000</xdr:rowOff>
    </xdr:from>
    <xdr:to>
      <xdr:col>2</xdr:col>
      <xdr:colOff>569310</xdr:colOff>
      <xdr:row>31</xdr:row>
      <xdr:rowOff>54740</xdr:rowOff>
    </xdr:to>
    <xdr:grpSp>
      <xdr:nvGrpSpPr>
        <xdr:cNvPr id="1182" name="Group 1181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GrpSpPr/>
      </xdr:nvGrpSpPr>
      <xdr:grpSpPr>
        <a:xfrm>
          <a:off x="80494" y="2545988"/>
          <a:ext cx="1785593" cy="3200800"/>
          <a:chOff x="80494" y="2507406"/>
          <a:chExt cx="1780713" cy="3147378"/>
        </a:xfrm>
      </xdr:grpSpPr>
      <xdr:grpSp>
        <xdr:nvGrpSpPr>
          <xdr:cNvPr id="1052" name="Group 1051">
            <a:extLst>
              <a:ext uri="{FF2B5EF4-FFF2-40B4-BE49-F238E27FC236}">
                <a16:creationId xmlns:a16="http://schemas.microsoft.com/office/drawing/2014/main" id="{00000000-0008-0000-0000-00001C040000}"/>
              </a:ext>
            </a:extLst>
          </xdr:cNvPr>
          <xdr:cNvGrpSpPr/>
        </xdr:nvGrpSpPr>
        <xdr:grpSpPr>
          <a:xfrm>
            <a:off x="104482" y="2532129"/>
            <a:ext cx="1744976" cy="3108551"/>
            <a:chOff x="69694" y="2474177"/>
            <a:chExt cx="1753995" cy="2358018"/>
          </a:xfrm>
        </xdr:grpSpPr>
        <xdr:sp macro="" textlink="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>
            <a:xfrm>
              <a:off x="69695" y="2474177"/>
              <a:ext cx="1753994" cy="2358018"/>
            </a:xfrm>
            <a:prstGeom prst="rect">
              <a:avLst/>
            </a:prstGeom>
            <a:solidFill>
              <a:srgbClr val="393939"/>
            </a:solidFill>
            <a:ln>
              <a:solidFill>
                <a:srgbClr val="393939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LID4096" sz="1100"/>
            </a:p>
          </xdr:txBody>
        </xdr:sp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69694" y="2503217"/>
              <a:ext cx="1730763" cy="211989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en-GB" sz="1000">
                  <a:solidFill>
                    <a:schemeClr val="bg1"/>
                  </a:solidFill>
                </a:rPr>
                <a:t>THE GUNRYAKU IS A PROVEN STRATEGY</a:t>
              </a:r>
              <a:r>
                <a:rPr lang="en-GB" sz="1000" baseline="0">
                  <a:solidFill>
                    <a:schemeClr val="bg1"/>
                  </a:solidFill>
                </a:rPr>
                <a:t> TO REMEDIATE INDICATORS OF COMPROMISE COMMONLY EXECUTED WITHIN A SYSTEMIC IDENTITY COMPROMISE OF A MICROSOFT ENTRA ID TENANT.</a:t>
              </a:r>
              <a:endParaRPr lang="LID4096" sz="1000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81" name="Rectangle 1180">
            <a:extLst>
              <a:ext uri="{FF2B5EF4-FFF2-40B4-BE49-F238E27FC236}">
                <a16:creationId xmlns:a16="http://schemas.microsoft.com/office/drawing/2014/main" id="{00000000-0008-0000-0000-00009D040000}"/>
              </a:ext>
            </a:extLst>
          </xdr:cNvPr>
          <xdr:cNvSpPr/>
        </xdr:nvSpPr>
        <xdr:spPr>
          <a:xfrm>
            <a:off x="80494" y="2507406"/>
            <a:ext cx="1780713" cy="3147378"/>
          </a:xfrm>
          <a:prstGeom prst="rect">
            <a:avLst/>
          </a:prstGeom>
          <a:noFill/>
          <a:ln>
            <a:solidFill>
              <a:srgbClr val="15608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LID4096" sz="1100"/>
          </a:p>
        </xdr:txBody>
      </xdr:sp>
    </xdr:grpSp>
    <xdr:clientData/>
  </xdr:twoCellAnchor>
  <xdr:twoCellAnchor>
    <xdr:from>
      <xdr:col>17</xdr:col>
      <xdr:colOff>32102</xdr:colOff>
      <xdr:row>12</xdr:row>
      <xdr:rowOff>84115</xdr:rowOff>
    </xdr:from>
    <xdr:to>
      <xdr:col>21</xdr:col>
      <xdr:colOff>545969</xdr:colOff>
      <xdr:row>31</xdr:row>
      <xdr:rowOff>49266</xdr:rowOff>
    </xdr:to>
    <xdr:grpSp>
      <xdr:nvGrpSpPr>
        <xdr:cNvPr id="1186" name="Group 1185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GrpSpPr/>
      </xdr:nvGrpSpPr>
      <xdr:grpSpPr>
        <a:xfrm>
          <a:off x="11054708" y="2287488"/>
          <a:ext cx="3107421" cy="3453826"/>
          <a:chOff x="11013223" y="2251874"/>
          <a:chExt cx="3097660" cy="3397436"/>
        </a:xfrm>
      </xdr:grpSpPr>
      <xdr:grpSp>
        <xdr:nvGrpSpPr>
          <xdr:cNvPr id="1184" name="Group 1183">
            <a:extLst>
              <a:ext uri="{FF2B5EF4-FFF2-40B4-BE49-F238E27FC236}">
                <a16:creationId xmlns:a16="http://schemas.microsoft.com/office/drawing/2014/main" id="{00000000-0008-0000-0000-0000A0040000}"/>
              </a:ext>
            </a:extLst>
          </xdr:cNvPr>
          <xdr:cNvGrpSpPr/>
        </xdr:nvGrpSpPr>
        <xdr:grpSpPr>
          <a:xfrm>
            <a:off x="11013223" y="2251874"/>
            <a:ext cx="3097660" cy="3397436"/>
            <a:chOff x="11013223" y="2251874"/>
            <a:chExt cx="3097660" cy="3397436"/>
          </a:xfrm>
        </xdr:grpSpPr>
        <xdr:grpSp>
          <xdr:nvGrpSpPr>
            <xdr:cNvPr id="1183" name="Group 1182">
              <a:extLs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GrpSpPr/>
          </xdr:nvGrpSpPr>
          <xdr:grpSpPr>
            <a:xfrm>
              <a:off x="11013223" y="2251874"/>
              <a:ext cx="3097660" cy="3397436"/>
              <a:chOff x="11013223" y="2251874"/>
              <a:chExt cx="3097660" cy="3397436"/>
            </a:xfrm>
          </xdr:grpSpPr>
          <xdr:sp macro="" textlink="">
            <xdr:nvSpPr>
              <xdr:cNvPr id="1043" name="Rectangle 1042">
                <a:extLs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>
              <a:xfrm>
                <a:off x="11023172" y="2256308"/>
                <a:ext cx="3087711" cy="3390177"/>
              </a:xfrm>
              <a:prstGeom prst="rect">
                <a:avLst/>
              </a:prstGeom>
              <a:solidFill>
                <a:srgbClr val="393939"/>
              </a:solidFill>
              <a:ln>
                <a:solidFill>
                  <a:srgbClr val="393939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LID4096" sz="1100"/>
              </a:p>
            </xdr:txBody>
          </xdr:sp>
          <xdr:sp macro="" textlink="">
            <xdr:nvSpPr>
              <xdr:cNvPr id="1176" name="Rectangle 1175">
                <a:extLst>
                  <a:ext uri="{FF2B5EF4-FFF2-40B4-BE49-F238E27FC236}">
                    <a16:creationId xmlns:a16="http://schemas.microsoft.com/office/drawing/2014/main" id="{00000000-0008-0000-0000-000098040000}"/>
                  </a:ext>
                </a:extLst>
              </xdr:cNvPr>
              <xdr:cNvSpPr/>
            </xdr:nvSpPr>
            <xdr:spPr>
              <a:xfrm>
                <a:off x="11014099" y="2251874"/>
                <a:ext cx="3070858" cy="424979"/>
              </a:xfrm>
              <a:prstGeom prst="rect">
                <a:avLst/>
              </a:prstGeom>
              <a:solidFill>
                <a:srgbClr val="262626"/>
              </a:solidFill>
              <a:ln>
                <a:solidFill>
                  <a:srgbClr val="26262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LID4096" sz="1100"/>
              </a:p>
            </xdr:txBody>
          </xdr:sp>
          <xdr:sp macro="" textlink="">
            <xdr:nvSpPr>
              <xdr:cNvPr id="1178" name="Rectangle 1177">
                <a:extLst>
                  <a:ext uri="{FF2B5EF4-FFF2-40B4-BE49-F238E27FC236}">
                    <a16:creationId xmlns:a16="http://schemas.microsoft.com/office/drawing/2014/main" id="{00000000-0008-0000-0000-00009A040000}"/>
                  </a:ext>
                </a:extLst>
              </xdr:cNvPr>
              <xdr:cNvSpPr/>
            </xdr:nvSpPr>
            <xdr:spPr>
              <a:xfrm>
                <a:off x="11013223" y="2261946"/>
                <a:ext cx="3070858" cy="3387364"/>
              </a:xfrm>
              <a:prstGeom prst="rect">
                <a:avLst/>
              </a:prstGeom>
              <a:noFill/>
              <a:ln>
                <a:solidFill>
                  <a:srgbClr val="156082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LID4096" sz="1100"/>
              </a:p>
            </xdr:txBody>
          </xdr:sp>
        </xdr:grpSp>
        <xdr:grpSp>
          <xdr:nvGrpSpPr>
            <xdr:cNvPr id="1175" name="Group 1174">
              <a:extLs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GrpSpPr/>
          </xdr:nvGrpSpPr>
          <xdr:grpSpPr>
            <a:xfrm>
              <a:off x="11209736" y="2844005"/>
              <a:ext cx="2856113" cy="2597373"/>
              <a:chOff x="11209736" y="2844005"/>
              <a:chExt cx="2856113" cy="2597373"/>
            </a:xfrm>
          </xdr:grpSpPr>
          <xdr:sp macro="" textlink="">
            <xdr:nvSpPr>
              <xdr:cNvPr id="1144" name="TextBox 1143">
                <a:extLst>
                  <a:ext uri="{FF2B5EF4-FFF2-40B4-BE49-F238E27FC236}">
                    <a16:creationId xmlns:a16="http://schemas.microsoft.com/office/drawing/2014/main" id="{00000000-0008-0000-0000-000078040000}"/>
                  </a:ext>
                </a:extLst>
              </xdr:cNvPr>
              <xdr:cNvSpPr txBox="1"/>
            </xdr:nvSpPr>
            <xdr:spPr>
              <a:xfrm>
                <a:off x="11209736" y="2844005"/>
                <a:ext cx="1245268" cy="17012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en-GB" sz="1050" b="1">
                    <a:solidFill>
                      <a:schemeClr val="bg1"/>
                    </a:solidFill>
                  </a:rPr>
                  <a:t>PHASE</a:t>
                </a:r>
                <a:endParaRPr lang="LID4096" sz="1050" b="1">
                  <a:solidFill>
                    <a:schemeClr val="bg1"/>
                  </a:solidFill>
                </a:endParaRPr>
              </a:p>
            </xdr:txBody>
          </xdr:sp>
          <xdr:sp macro="" textlink="">
            <xdr:nvSpPr>
              <xdr:cNvPr id="1145" name="TextBox 1144">
                <a:extLst>
                  <a:ext uri="{FF2B5EF4-FFF2-40B4-BE49-F238E27FC236}">
                    <a16:creationId xmlns:a16="http://schemas.microsoft.com/office/drawing/2014/main" id="{00000000-0008-0000-0000-000079040000}"/>
                  </a:ext>
                </a:extLst>
              </xdr:cNvPr>
              <xdr:cNvSpPr txBox="1"/>
            </xdr:nvSpPr>
            <xdr:spPr>
              <a:xfrm>
                <a:off x="12484000" y="2844005"/>
                <a:ext cx="1581849" cy="17012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en-GB" sz="1050" b="1">
                    <a:solidFill>
                      <a:schemeClr val="bg1"/>
                    </a:solidFill>
                  </a:rPr>
                  <a:t>STATUS</a:t>
                </a:r>
                <a:endParaRPr lang="LID4096" sz="1050" b="1">
                  <a:solidFill>
                    <a:schemeClr val="bg1"/>
                  </a:solidFill>
                </a:endParaRPr>
              </a:p>
            </xdr:txBody>
          </xdr:sp>
          <xdr:grpSp>
            <xdr:nvGrpSpPr>
              <xdr:cNvPr id="1174" name="Group 1173">
                <a:extLst>
                  <a:ext uri="{FF2B5EF4-FFF2-40B4-BE49-F238E27FC236}">
                    <a16:creationId xmlns:a16="http://schemas.microsoft.com/office/drawing/2014/main" id="{00000000-0008-0000-0000-000096040000}"/>
                  </a:ext>
                </a:extLst>
              </xdr:cNvPr>
              <xdr:cNvGrpSpPr/>
            </xdr:nvGrpSpPr>
            <xdr:grpSpPr>
              <a:xfrm>
                <a:off x="11232281" y="2979364"/>
                <a:ext cx="2759917" cy="2462014"/>
                <a:chOff x="11265127" y="2437424"/>
                <a:chExt cx="2759917" cy="2462014"/>
              </a:xfrm>
            </xdr:grpSpPr>
            <xdr:grpSp>
              <xdr:nvGrpSpPr>
                <xdr:cNvPr id="1118" name="Group 1117">
                  <a:extLst>
                    <a:ext uri="{FF2B5EF4-FFF2-40B4-BE49-F238E27FC236}">
                      <a16:creationId xmlns:a16="http://schemas.microsoft.com/office/drawing/2014/main" id="{00000000-0008-0000-0000-00005E040000}"/>
                    </a:ext>
                  </a:extLst>
                </xdr:cNvPr>
                <xdr:cNvGrpSpPr/>
              </xdr:nvGrpSpPr>
              <xdr:grpSpPr>
                <a:xfrm>
                  <a:off x="11265127" y="2437424"/>
                  <a:ext cx="2711240" cy="551538"/>
                  <a:chOff x="11299828" y="2432435"/>
                  <a:chExt cx="2717891" cy="550388"/>
                </a:xfrm>
              </xdr:grpSpPr>
              <xdr:sp macro="" textlink="">
                <xdr:nvSpPr>
                  <xdr:cNvPr id="1105" name="TextBox 1104">
                    <a:extLst>
                      <a:ext uri="{FF2B5EF4-FFF2-40B4-BE49-F238E27FC236}">
                        <a16:creationId xmlns:a16="http://schemas.microsoft.com/office/drawing/2014/main" id="{00000000-0008-0000-0000-000051040000}"/>
                      </a:ext>
                    </a:extLst>
                  </xdr:cNvPr>
                  <xdr:cNvSpPr txBox="1"/>
                </xdr:nvSpPr>
                <xdr:spPr>
                  <a:xfrm>
                    <a:off x="11299828" y="2541593"/>
                    <a:ext cx="1436620" cy="33590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r>
                      <a:rPr lang="en-GB" sz="1050" b="0">
                        <a:solidFill>
                          <a:schemeClr val="bg1"/>
                        </a:solidFill>
                      </a:rPr>
                      <a:t>TETSU</a:t>
                    </a:r>
                    <a:r>
                      <a:rPr lang="en-GB" sz="1050" b="0" baseline="0">
                        <a:solidFill>
                          <a:schemeClr val="bg1"/>
                        </a:solidFill>
                      </a:rPr>
                      <a:t> NO KUSARI</a:t>
                    </a:r>
                    <a:endParaRPr lang="LID4096" sz="1050" b="0">
                      <a:solidFill>
                        <a:schemeClr val="bg1"/>
                      </a:solidFill>
                    </a:endParaRPr>
                  </a:p>
                </xdr:txBody>
              </xdr:sp>
              <xdr:grpSp>
                <xdr:nvGrpSpPr>
                  <xdr:cNvPr id="1117" name="Group 1116">
                    <a:extLst>
                      <a:ext uri="{FF2B5EF4-FFF2-40B4-BE49-F238E27FC236}">
                        <a16:creationId xmlns:a16="http://schemas.microsoft.com/office/drawing/2014/main" id="{00000000-0008-0000-0000-00005D040000}"/>
                      </a:ext>
                    </a:extLst>
                  </xdr:cNvPr>
                  <xdr:cNvGrpSpPr/>
                </xdr:nvGrpSpPr>
                <xdr:grpSpPr>
                  <a:xfrm>
                    <a:off x="12484874" y="2432435"/>
                    <a:ext cx="1532845" cy="550388"/>
                    <a:chOff x="12484874" y="2432435"/>
                    <a:chExt cx="1532845" cy="550388"/>
                  </a:xfrm>
                </xdr:grpSpPr>
                <xdr:sp macro="" textlink="">
                  <xdr:nvSpPr>
                    <xdr:cNvPr id="1115" name="Rectangle 1114">
                      <a:extLst>
                        <a:ext uri="{FF2B5EF4-FFF2-40B4-BE49-F238E27FC236}">
                          <a16:creationId xmlns:a16="http://schemas.microsoft.com/office/drawing/2014/main" id="{00000000-0008-0000-0000-00005B040000}"/>
                        </a:ext>
                      </a:extLst>
                    </xdr:cNvPr>
                    <xdr:cNvSpPr/>
                  </xdr:nvSpPr>
                  <xdr:spPr>
                    <a:xfrm>
                      <a:off x="12613949" y="2643854"/>
                      <a:ext cx="1272968" cy="126852"/>
                    </a:xfrm>
                    <a:prstGeom prst="rect">
                      <a:avLst/>
                    </a:prstGeom>
                    <a:solidFill>
                      <a:schemeClr val="bg1">
                        <a:lumMod val="85000"/>
                      </a:schemeClr>
                    </a:solidFill>
                    <a:ln>
                      <a:solidFill>
                        <a:schemeClr val="bg1">
                          <a:lumMod val="85000"/>
                        </a:schemeClr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LID4096" sz="1100"/>
                    </a:p>
                  </xdr:txBody>
                </xdr:sp>
                <xdr:graphicFrame macro="">
                  <xdr:nvGraphicFramePr>
                    <xdr:cNvPr id="1116" name="Chart 1115">
                      <a:extLst>
                        <a:ext uri="{FF2B5EF4-FFF2-40B4-BE49-F238E27FC236}">
                          <a16:creationId xmlns:a16="http://schemas.microsoft.com/office/drawing/2014/main" id="{00000000-0008-0000-0000-00005C04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484874" y="2432435"/>
                    <a:ext cx="1532845" cy="550388"/>
                  </xdr:xfrm>
                  <a:graphic>
                    <a:graphicData uri="http://schemas.openxmlformats.org/drawingml/2006/chart">
                      <c:chart xmlns:c="http://schemas.openxmlformats.org/drawingml/2006/chart" xmlns:r="http://schemas.openxmlformats.org/officeDocument/2006/relationships" r:id="rId3"/>
                    </a:graphicData>
                  </a:graphic>
                </xdr:graphicFrame>
              </xdr:grpSp>
            </xdr:grpSp>
            <xdr:grpSp>
              <xdr:nvGrpSpPr>
                <xdr:cNvPr id="1119" name="Group 1118">
                  <a:extLst>
                    <a:ext uri="{FF2B5EF4-FFF2-40B4-BE49-F238E27FC236}">
                      <a16:creationId xmlns:a16="http://schemas.microsoft.com/office/drawing/2014/main" id="{00000000-0008-0000-0000-00005F040000}"/>
                    </a:ext>
                  </a:extLst>
                </xdr:cNvPr>
                <xdr:cNvGrpSpPr/>
              </xdr:nvGrpSpPr>
              <xdr:grpSpPr>
                <a:xfrm>
                  <a:off x="11265127" y="2799884"/>
                  <a:ext cx="2711240" cy="551539"/>
                  <a:chOff x="11299828" y="2432435"/>
                  <a:chExt cx="2717891" cy="550388"/>
                </a:xfrm>
              </xdr:grpSpPr>
              <xdr:sp macro="" textlink="">
                <xdr:nvSpPr>
                  <xdr:cNvPr id="1120" name="TextBox 1119">
                    <a:extLst>
                      <a:ext uri="{FF2B5EF4-FFF2-40B4-BE49-F238E27FC236}">
                        <a16:creationId xmlns:a16="http://schemas.microsoft.com/office/drawing/2014/main" id="{00000000-0008-0000-0000-000060040000}"/>
                      </a:ext>
                    </a:extLst>
                  </xdr:cNvPr>
                  <xdr:cNvSpPr txBox="1"/>
                </xdr:nvSpPr>
                <xdr:spPr>
                  <a:xfrm>
                    <a:off x="11299828" y="2541593"/>
                    <a:ext cx="1436620" cy="33590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r>
                      <a:rPr lang="en-GB" sz="1050" b="0">
                        <a:solidFill>
                          <a:schemeClr val="bg1"/>
                        </a:solidFill>
                      </a:rPr>
                      <a:t>GEKIMETSU</a:t>
                    </a:r>
                    <a:endParaRPr lang="LID4096" sz="1050" b="0">
                      <a:solidFill>
                        <a:schemeClr val="bg1"/>
                      </a:solidFill>
                    </a:endParaRPr>
                  </a:p>
                </xdr:txBody>
              </xdr:sp>
              <xdr:grpSp>
                <xdr:nvGrpSpPr>
                  <xdr:cNvPr id="1121" name="Group 1120">
                    <a:extLst>
                      <a:ext uri="{FF2B5EF4-FFF2-40B4-BE49-F238E27FC236}">
                        <a16:creationId xmlns:a16="http://schemas.microsoft.com/office/drawing/2014/main" id="{00000000-0008-0000-0000-000061040000}"/>
                      </a:ext>
                    </a:extLst>
                  </xdr:cNvPr>
                  <xdr:cNvGrpSpPr/>
                </xdr:nvGrpSpPr>
                <xdr:grpSpPr>
                  <a:xfrm>
                    <a:off x="12484874" y="2432435"/>
                    <a:ext cx="1532845" cy="550388"/>
                    <a:chOff x="12484874" y="2432435"/>
                    <a:chExt cx="1532845" cy="550388"/>
                  </a:xfrm>
                </xdr:grpSpPr>
                <xdr:sp macro="" textlink="">
                  <xdr:nvSpPr>
                    <xdr:cNvPr id="1122" name="Rectangle 1121">
                      <a:extLst>
                        <a:ext uri="{FF2B5EF4-FFF2-40B4-BE49-F238E27FC236}">
                          <a16:creationId xmlns:a16="http://schemas.microsoft.com/office/drawing/2014/main" id="{00000000-0008-0000-0000-000062040000}"/>
                        </a:ext>
                      </a:extLst>
                    </xdr:cNvPr>
                    <xdr:cNvSpPr/>
                  </xdr:nvSpPr>
                  <xdr:spPr>
                    <a:xfrm>
                      <a:off x="12613949" y="2643854"/>
                      <a:ext cx="1272968" cy="126852"/>
                    </a:xfrm>
                    <a:prstGeom prst="rect">
                      <a:avLst/>
                    </a:prstGeom>
                    <a:solidFill>
                      <a:schemeClr val="bg1">
                        <a:lumMod val="85000"/>
                      </a:schemeClr>
                    </a:solidFill>
                    <a:ln>
                      <a:solidFill>
                        <a:schemeClr val="bg1">
                          <a:lumMod val="85000"/>
                        </a:schemeClr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LID4096" sz="1100"/>
                    </a:p>
                  </xdr:txBody>
                </xdr:sp>
                <xdr:graphicFrame macro="">
                  <xdr:nvGraphicFramePr>
                    <xdr:cNvPr id="1123" name="Chart 1122">
                      <a:extLst>
                        <a:ext uri="{FF2B5EF4-FFF2-40B4-BE49-F238E27FC236}">
                          <a16:creationId xmlns:a16="http://schemas.microsoft.com/office/drawing/2014/main" id="{00000000-0008-0000-0000-00006304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484874" y="2432435"/>
                    <a:ext cx="1532845" cy="550388"/>
                  </xdr:xfrm>
                  <a:graphic>
                    <a:graphicData uri="http://schemas.openxmlformats.org/drawingml/2006/chart">
                      <c:chart xmlns:c="http://schemas.openxmlformats.org/drawingml/2006/chart" xmlns:r="http://schemas.openxmlformats.org/officeDocument/2006/relationships" r:id="rId4"/>
                    </a:graphicData>
                  </a:graphic>
                </xdr:graphicFrame>
              </xdr:grpSp>
            </xdr:grpSp>
            <xdr:grpSp>
              <xdr:nvGrpSpPr>
                <xdr:cNvPr id="1124" name="Group 1123">
                  <a:extLst>
                    <a:ext uri="{FF2B5EF4-FFF2-40B4-BE49-F238E27FC236}">
                      <a16:creationId xmlns:a16="http://schemas.microsoft.com/office/drawing/2014/main" id="{00000000-0008-0000-0000-000064040000}"/>
                    </a:ext>
                  </a:extLst>
                </xdr:cNvPr>
                <xdr:cNvGrpSpPr/>
              </xdr:nvGrpSpPr>
              <xdr:grpSpPr>
                <a:xfrm>
                  <a:off x="11265127" y="3162345"/>
                  <a:ext cx="2711240" cy="551539"/>
                  <a:chOff x="11299828" y="2432435"/>
                  <a:chExt cx="2717891" cy="550388"/>
                </a:xfrm>
              </xdr:grpSpPr>
              <xdr:sp macro="" textlink="">
                <xdr:nvSpPr>
                  <xdr:cNvPr id="1125" name="TextBox 1124">
                    <a:extLst>
                      <a:ext uri="{FF2B5EF4-FFF2-40B4-BE49-F238E27FC236}">
                        <a16:creationId xmlns:a16="http://schemas.microsoft.com/office/drawing/2014/main" id="{00000000-0008-0000-0000-000065040000}"/>
                      </a:ext>
                    </a:extLst>
                  </xdr:cNvPr>
                  <xdr:cNvSpPr txBox="1"/>
                </xdr:nvSpPr>
                <xdr:spPr>
                  <a:xfrm>
                    <a:off x="11299828" y="2541593"/>
                    <a:ext cx="1436620" cy="33590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r>
                      <a:rPr lang="en-GB" sz="1050" b="0">
                        <a:solidFill>
                          <a:schemeClr val="bg1"/>
                        </a:solidFill>
                      </a:rPr>
                      <a:t>FUTOTEKI TORIDE</a:t>
                    </a:r>
                    <a:endParaRPr lang="LID4096" sz="1050" b="0">
                      <a:solidFill>
                        <a:schemeClr val="bg1"/>
                      </a:solidFill>
                    </a:endParaRPr>
                  </a:p>
                </xdr:txBody>
              </xdr:sp>
              <xdr:grpSp>
                <xdr:nvGrpSpPr>
                  <xdr:cNvPr id="1126" name="Group 1125">
                    <a:extLst>
                      <a:ext uri="{FF2B5EF4-FFF2-40B4-BE49-F238E27FC236}">
                        <a16:creationId xmlns:a16="http://schemas.microsoft.com/office/drawing/2014/main" id="{00000000-0008-0000-0000-000066040000}"/>
                      </a:ext>
                    </a:extLst>
                  </xdr:cNvPr>
                  <xdr:cNvGrpSpPr/>
                </xdr:nvGrpSpPr>
                <xdr:grpSpPr>
                  <a:xfrm>
                    <a:off x="12484874" y="2432435"/>
                    <a:ext cx="1532845" cy="550388"/>
                    <a:chOff x="12484874" y="2432435"/>
                    <a:chExt cx="1532845" cy="550388"/>
                  </a:xfrm>
                </xdr:grpSpPr>
                <xdr:sp macro="" textlink="">
                  <xdr:nvSpPr>
                    <xdr:cNvPr id="1127" name="Rectangle 1126">
                      <a:extLst>
                        <a:ext uri="{FF2B5EF4-FFF2-40B4-BE49-F238E27FC236}">
                          <a16:creationId xmlns:a16="http://schemas.microsoft.com/office/drawing/2014/main" id="{00000000-0008-0000-0000-000067040000}"/>
                        </a:ext>
                      </a:extLst>
                    </xdr:cNvPr>
                    <xdr:cNvSpPr/>
                  </xdr:nvSpPr>
                  <xdr:spPr>
                    <a:xfrm>
                      <a:off x="12613949" y="2643854"/>
                      <a:ext cx="1272968" cy="126852"/>
                    </a:xfrm>
                    <a:prstGeom prst="rect">
                      <a:avLst/>
                    </a:prstGeom>
                    <a:solidFill>
                      <a:schemeClr val="bg1">
                        <a:lumMod val="85000"/>
                      </a:schemeClr>
                    </a:solidFill>
                    <a:ln>
                      <a:solidFill>
                        <a:schemeClr val="bg1">
                          <a:lumMod val="85000"/>
                        </a:schemeClr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LID4096" sz="1100"/>
                    </a:p>
                  </xdr:txBody>
                </xdr:sp>
                <xdr:graphicFrame macro="">
                  <xdr:nvGraphicFramePr>
                    <xdr:cNvPr id="1128" name="Chart 1127">
                      <a:extLst>
                        <a:ext uri="{FF2B5EF4-FFF2-40B4-BE49-F238E27FC236}">
                          <a16:creationId xmlns:a16="http://schemas.microsoft.com/office/drawing/2014/main" id="{00000000-0008-0000-0000-00006804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484874" y="2432435"/>
                    <a:ext cx="1532845" cy="550388"/>
                  </xdr:xfrm>
                  <a:graphic>
                    <a:graphicData uri="http://schemas.openxmlformats.org/drawingml/2006/chart">
                      <c:chart xmlns:c="http://schemas.openxmlformats.org/drawingml/2006/chart" xmlns:r="http://schemas.openxmlformats.org/officeDocument/2006/relationships" r:id="rId5"/>
                    </a:graphicData>
                  </a:graphic>
                </xdr:graphicFrame>
              </xdr:grpSp>
            </xdr:grpSp>
            <xdr:grpSp>
              <xdr:nvGrpSpPr>
                <xdr:cNvPr id="1129" name="Group 1128">
                  <a:extLst>
                    <a:ext uri="{FF2B5EF4-FFF2-40B4-BE49-F238E27FC236}">
                      <a16:creationId xmlns:a16="http://schemas.microsoft.com/office/drawing/2014/main" id="{00000000-0008-0000-0000-000069040000}"/>
                    </a:ext>
                  </a:extLst>
                </xdr:cNvPr>
                <xdr:cNvGrpSpPr/>
              </xdr:nvGrpSpPr>
              <xdr:grpSpPr>
                <a:xfrm>
                  <a:off x="11265127" y="3524805"/>
                  <a:ext cx="2711240" cy="551539"/>
                  <a:chOff x="11299828" y="2432435"/>
                  <a:chExt cx="2717891" cy="550388"/>
                </a:xfrm>
              </xdr:grpSpPr>
              <xdr:sp macro="" textlink="">
                <xdr:nvSpPr>
                  <xdr:cNvPr id="1130" name="TextBox 1129">
                    <a:extLst>
                      <a:ext uri="{FF2B5EF4-FFF2-40B4-BE49-F238E27FC236}">
                        <a16:creationId xmlns:a16="http://schemas.microsoft.com/office/drawing/2014/main" id="{00000000-0008-0000-0000-00006A040000}"/>
                      </a:ext>
                    </a:extLst>
                  </xdr:cNvPr>
                  <xdr:cNvSpPr txBox="1"/>
                </xdr:nvSpPr>
                <xdr:spPr>
                  <a:xfrm>
                    <a:off x="11299828" y="2541593"/>
                    <a:ext cx="1436620" cy="33590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r>
                      <a:rPr lang="en-GB" sz="1050" b="0">
                        <a:solidFill>
                          <a:schemeClr val="bg1"/>
                        </a:solidFill>
                      </a:rPr>
                      <a:t>CHŌHEI</a:t>
                    </a:r>
                    <a:endParaRPr lang="LID4096" sz="1050" b="0">
                      <a:solidFill>
                        <a:schemeClr val="bg1"/>
                      </a:solidFill>
                    </a:endParaRPr>
                  </a:p>
                </xdr:txBody>
              </xdr:sp>
              <xdr:grpSp>
                <xdr:nvGrpSpPr>
                  <xdr:cNvPr id="1131" name="Group 1130">
                    <a:extLst>
                      <a:ext uri="{FF2B5EF4-FFF2-40B4-BE49-F238E27FC236}">
                        <a16:creationId xmlns:a16="http://schemas.microsoft.com/office/drawing/2014/main" id="{00000000-0008-0000-0000-00006B040000}"/>
                      </a:ext>
                    </a:extLst>
                  </xdr:cNvPr>
                  <xdr:cNvGrpSpPr/>
                </xdr:nvGrpSpPr>
                <xdr:grpSpPr>
                  <a:xfrm>
                    <a:off x="12484874" y="2432435"/>
                    <a:ext cx="1532845" cy="550388"/>
                    <a:chOff x="12484874" y="2432435"/>
                    <a:chExt cx="1532845" cy="550388"/>
                  </a:xfrm>
                </xdr:grpSpPr>
                <xdr:sp macro="" textlink="">
                  <xdr:nvSpPr>
                    <xdr:cNvPr id="1132" name="Rectangle 1131">
                      <a:extLst>
                        <a:ext uri="{FF2B5EF4-FFF2-40B4-BE49-F238E27FC236}">
                          <a16:creationId xmlns:a16="http://schemas.microsoft.com/office/drawing/2014/main" id="{00000000-0008-0000-0000-00006C040000}"/>
                        </a:ext>
                      </a:extLst>
                    </xdr:cNvPr>
                    <xdr:cNvSpPr/>
                  </xdr:nvSpPr>
                  <xdr:spPr>
                    <a:xfrm>
                      <a:off x="12613949" y="2643854"/>
                      <a:ext cx="1272968" cy="126852"/>
                    </a:xfrm>
                    <a:prstGeom prst="rect">
                      <a:avLst/>
                    </a:prstGeom>
                    <a:solidFill>
                      <a:schemeClr val="bg1">
                        <a:lumMod val="85000"/>
                      </a:schemeClr>
                    </a:solidFill>
                    <a:ln>
                      <a:solidFill>
                        <a:schemeClr val="bg1">
                          <a:lumMod val="85000"/>
                        </a:schemeClr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LID4096" sz="1100"/>
                    </a:p>
                  </xdr:txBody>
                </xdr:sp>
                <xdr:graphicFrame macro="">
                  <xdr:nvGraphicFramePr>
                    <xdr:cNvPr id="1133" name="Chart 1132">
                      <a:extLst>
                        <a:ext uri="{FF2B5EF4-FFF2-40B4-BE49-F238E27FC236}">
                          <a16:creationId xmlns:a16="http://schemas.microsoft.com/office/drawing/2014/main" id="{00000000-0008-0000-0000-00006D04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484874" y="2432435"/>
                    <a:ext cx="1532845" cy="550388"/>
                  </xdr:xfrm>
                  <a:graphic>
                    <a:graphicData uri="http://schemas.openxmlformats.org/drawingml/2006/chart">
                      <c:chart xmlns:c="http://schemas.openxmlformats.org/drawingml/2006/chart" xmlns:r="http://schemas.openxmlformats.org/officeDocument/2006/relationships" r:id="rId6"/>
                    </a:graphicData>
                  </a:graphic>
                </xdr:graphicFrame>
              </xdr:grpSp>
            </xdr:grpSp>
            <xdr:grpSp>
              <xdr:nvGrpSpPr>
                <xdr:cNvPr id="1134" name="Group 1133">
                  <a:extLst>
                    <a:ext uri="{FF2B5EF4-FFF2-40B4-BE49-F238E27FC236}">
                      <a16:creationId xmlns:a16="http://schemas.microsoft.com/office/drawing/2014/main" id="{00000000-0008-0000-0000-00006E040000}"/>
                    </a:ext>
                  </a:extLst>
                </xdr:cNvPr>
                <xdr:cNvGrpSpPr/>
              </xdr:nvGrpSpPr>
              <xdr:grpSpPr>
                <a:xfrm>
                  <a:off x="11265127" y="3887266"/>
                  <a:ext cx="2711240" cy="551539"/>
                  <a:chOff x="11299828" y="2432435"/>
                  <a:chExt cx="2717891" cy="550388"/>
                </a:xfrm>
              </xdr:grpSpPr>
              <xdr:sp macro="" textlink="">
                <xdr:nvSpPr>
                  <xdr:cNvPr id="1135" name="TextBox 1134">
                    <a:extLst>
                      <a:ext uri="{FF2B5EF4-FFF2-40B4-BE49-F238E27FC236}">
                        <a16:creationId xmlns:a16="http://schemas.microsoft.com/office/drawing/2014/main" id="{00000000-0008-0000-0000-00006F040000}"/>
                      </a:ext>
                    </a:extLst>
                  </xdr:cNvPr>
                  <xdr:cNvSpPr txBox="1"/>
                </xdr:nvSpPr>
                <xdr:spPr>
                  <a:xfrm>
                    <a:off x="11299828" y="2541593"/>
                    <a:ext cx="1436620" cy="33590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r>
                      <a:rPr lang="en-GB" sz="1050" b="0">
                        <a:solidFill>
                          <a:schemeClr val="bg1"/>
                        </a:solidFill>
                      </a:rPr>
                      <a:t>HAYABUSA NO ME</a:t>
                    </a:r>
                    <a:endParaRPr lang="LID4096" sz="1050" b="0">
                      <a:solidFill>
                        <a:schemeClr val="bg1"/>
                      </a:solidFill>
                    </a:endParaRPr>
                  </a:p>
                </xdr:txBody>
              </xdr:sp>
              <xdr:grpSp>
                <xdr:nvGrpSpPr>
                  <xdr:cNvPr id="1136" name="Group 1135">
                    <a:extLst>
                      <a:ext uri="{FF2B5EF4-FFF2-40B4-BE49-F238E27FC236}">
                        <a16:creationId xmlns:a16="http://schemas.microsoft.com/office/drawing/2014/main" id="{00000000-0008-0000-0000-000070040000}"/>
                      </a:ext>
                    </a:extLst>
                  </xdr:cNvPr>
                  <xdr:cNvGrpSpPr/>
                </xdr:nvGrpSpPr>
                <xdr:grpSpPr>
                  <a:xfrm>
                    <a:off x="12484874" y="2432435"/>
                    <a:ext cx="1532845" cy="550388"/>
                    <a:chOff x="12484874" y="2432435"/>
                    <a:chExt cx="1532845" cy="550388"/>
                  </a:xfrm>
                </xdr:grpSpPr>
                <xdr:sp macro="" textlink="">
                  <xdr:nvSpPr>
                    <xdr:cNvPr id="1137" name="Rectangle 1136">
                      <a:extLst>
                        <a:ext uri="{FF2B5EF4-FFF2-40B4-BE49-F238E27FC236}">
                          <a16:creationId xmlns:a16="http://schemas.microsoft.com/office/drawing/2014/main" id="{00000000-0008-0000-0000-000071040000}"/>
                        </a:ext>
                      </a:extLst>
                    </xdr:cNvPr>
                    <xdr:cNvSpPr/>
                  </xdr:nvSpPr>
                  <xdr:spPr>
                    <a:xfrm>
                      <a:off x="12613949" y="2643854"/>
                      <a:ext cx="1272968" cy="126852"/>
                    </a:xfrm>
                    <a:prstGeom prst="rect">
                      <a:avLst/>
                    </a:prstGeom>
                    <a:solidFill>
                      <a:schemeClr val="bg1">
                        <a:lumMod val="85000"/>
                      </a:schemeClr>
                    </a:solidFill>
                    <a:ln>
                      <a:solidFill>
                        <a:schemeClr val="bg1">
                          <a:lumMod val="85000"/>
                        </a:schemeClr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LID4096" sz="1100"/>
                    </a:p>
                  </xdr:txBody>
                </xdr:sp>
                <xdr:graphicFrame macro="">
                  <xdr:nvGraphicFramePr>
                    <xdr:cNvPr id="1138" name="Chart 1137">
                      <a:extLst>
                        <a:ext uri="{FF2B5EF4-FFF2-40B4-BE49-F238E27FC236}">
                          <a16:creationId xmlns:a16="http://schemas.microsoft.com/office/drawing/2014/main" id="{00000000-0008-0000-0000-00007204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484874" y="2432435"/>
                    <a:ext cx="1532845" cy="550388"/>
                  </xdr:xfrm>
                  <a:graphic>
                    <a:graphicData uri="http://schemas.openxmlformats.org/drawingml/2006/chart">
                      <c:chart xmlns:c="http://schemas.openxmlformats.org/drawingml/2006/chart" xmlns:r="http://schemas.openxmlformats.org/officeDocument/2006/relationships" r:id="rId7"/>
                    </a:graphicData>
                  </a:graphic>
                </xdr:graphicFrame>
              </xdr:grpSp>
            </xdr:grpSp>
            <xdr:grpSp>
              <xdr:nvGrpSpPr>
                <xdr:cNvPr id="1139" name="Group 1138">
                  <a:extLst>
                    <a:ext uri="{FF2B5EF4-FFF2-40B4-BE49-F238E27FC236}">
                      <a16:creationId xmlns:a16="http://schemas.microsoft.com/office/drawing/2014/main" id="{00000000-0008-0000-0000-000073040000}"/>
                    </a:ext>
                  </a:extLst>
                </xdr:cNvPr>
                <xdr:cNvGrpSpPr/>
              </xdr:nvGrpSpPr>
              <xdr:grpSpPr>
                <a:xfrm>
                  <a:off x="11265127" y="4249725"/>
                  <a:ext cx="2711240" cy="551539"/>
                  <a:chOff x="11299828" y="2432435"/>
                  <a:chExt cx="2717891" cy="550388"/>
                </a:xfrm>
              </xdr:grpSpPr>
              <xdr:sp macro="" textlink="">
                <xdr:nvSpPr>
                  <xdr:cNvPr id="1140" name="TextBox 1139">
                    <a:extLst>
                      <a:ext uri="{FF2B5EF4-FFF2-40B4-BE49-F238E27FC236}">
                        <a16:creationId xmlns:a16="http://schemas.microsoft.com/office/drawing/2014/main" id="{00000000-0008-0000-0000-000074040000}"/>
                      </a:ext>
                    </a:extLst>
                  </xdr:cNvPr>
                  <xdr:cNvSpPr txBox="1"/>
                </xdr:nvSpPr>
                <xdr:spPr>
                  <a:xfrm>
                    <a:off x="11299828" y="2541593"/>
                    <a:ext cx="1436620" cy="33590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r>
                      <a:rPr lang="en-GB" sz="1050" b="0">
                        <a:solidFill>
                          <a:schemeClr val="bg1"/>
                        </a:solidFill>
                      </a:rPr>
                      <a:t>NOBURU TORA</a:t>
                    </a:r>
                    <a:endParaRPr lang="LID4096" sz="1050" b="0">
                      <a:solidFill>
                        <a:schemeClr val="bg1"/>
                      </a:solidFill>
                    </a:endParaRPr>
                  </a:p>
                </xdr:txBody>
              </xdr:sp>
              <xdr:grpSp>
                <xdr:nvGrpSpPr>
                  <xdr:cNvPr id="1141" name="Group 1140">
                    <a:extLst>
                      <a:ext uri="{FF2B5EF4-FFF2-40B4-BE49-F238E27FC236}">
                        <a16:creationId xmlns:a16="http://schemas.microsoft.com/office/drawing/2014/main" id="{00000000-0008-0000-0000-000075040000}"/>
                      </a:ext>
                    </a:extLst>
                  </xdr:cNvPr>
                  <xdr:cNvGrpSpPr/>
                </xdr:nvGrpSpPr>
                <xdr:grpSpPr>
                  <a:xfrm>
                    <a:off x="12484874" y="2432435"/>
                    <a:ext cx="1532845" cy="550388"/>
                    <a:chOff x="12484874" y="2432435"/>
                    <a:chExt cx="1532845" cy="550388"/>
                  </a:xfrm>
                </xdr:grpSpPr>
                <xdr:sp macro="" textlink="">
                  <xdr:nvSpPr>
                    <xdr:cNvPr id="1142" name="Rectangle 1141">
                      <a:extLst>
                        <a:ext uri="{FF2B5EF4-FFF2-40B4-BE49-F238E27FC236}">
                          <a16:creationId xmlns:a16="http://schemas.microsoft.com/office/drawing/2014/main" id="{00000000-0008-0000-0000-000076040000}"/>
                        </a:ext>
                      </a:extLst>
                    </xdr:cNvPr>
                    <xdr:cNvSpPr/>
                  </xdr:nvSpPr>
                  <xdr:spPr>
                    <a:xfrm>
                      <a:off x="12613949" y="2643854"/>
                      <a:ext cx="1272968" cy="126852"/>
                    </a:xfrm>
                    <a:prstGeom prst="rect">
                      <a:avLst/>
                    </a:prstGeom>
                    <a:solidFill>
                      <a:schemeClr val="bg1">
                        <a:lumMod val="85000"/>
                      </a:schemeClr>
                    </a:solidFill>
                    <a:ln>
                      <a:solidFill>
                        <a:schemeClr val="bg1">
                          <a:lumMod val="85000"/>
                        </a:schemeClr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LID4096" sz="1100"/>
                    </a:p>
                  </xdr:txBody>
                </xdr:sp>
                <xdr:graphicFrame macro="">
                  <xdr:nvGraphicFramePr>
                    <xdr:cNvPr id="1143" name="Chart 1142">
                      <a:extLst>
                        <a:ext uri="{FF2B5EF4-FFF2-40B4-BE49-F238E27FC236}">
                          <a16:creationId xmlns:a16="http://schemas.microsoft.com/office/drawing/2014/main" id="{00000000-0008-0000-0000-00007704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484874" y="2432435"/>
                    <a:ext cx="1532845" cy="550388"/>
                  </xdr:xfrm>
                  <a:graphic>
                    <a:graphicData uri="http://schemas.openxmlformats.org/drawingml/2006/chart">
                      <c:chart xmlns:c="http://schemas.openxmlformats.org/drawingml/2006/chart" xmlns:r="http://schemas.openxmlformats.org/officeDocument/2006/relationships" r:id="rId8"/>
                    </a:graphicData>
                  </a:graphic>
                </xdr:graphicFrame>
              </xdr:grpSp>
            </xdr:grpSp>
            <xdr:grpSp>
              <xdr:nvGrpSpPr>
                <xdr:cNvPr id="1173" name="Group 1172">
                  <a:extLst>
                    <a:ext uri="{FF2B5EF4-FFF2-40B4-BE49-F238E27FC236}">
                      <a16:creationId xmlns:a16="http://schemas.microsoft.com/office/drawing/2014/main" id="{00000000-0008-0000-0000-000095040000}"/>
                    </a:ext>
                  </a:extLst>
                </xdr:cNvPr>
                <xdr:cNvGrpSpPr/>
              </xdr:nvGrpSpPr>
              <xdr:grpSpPr>
                <a:xfrm>
                  <a:off x="12399040" y="4737108"/>
                  <a:ext cx="1626004" cy="162330"/>
                  <a:chOff x="12425821" y="4748614"/>
                  <a:chExt cx="1628822" cy="162772"/>
                </a:xfrm>
              </xdr:grpSpPr>
              <xdr:cxnSp macro="">
                <xdr:nvCxnSpPr>
                  <xdr:cNvPr id="1165" name="Straight Connector 1164">
                    <a:extLst>
                      <a:ext uri="{FF2B5EF4-FFF2-40B4-BE49-F238E27FC236}">
                        <a16:creationId xmlns:a16="http://schemas.microsoft.com/office/drawing/2014/main" id="{00000000-0008-0000-0000-00008D040000}"/>
                      </a:ext>
                    </a:extLst>
                  </xdr:cNvPr>
                  <xdr:cNvCxnSpPr/>
                </xdr:nvCxnSpPr>
                <xdr:spPr>
                  <a:xfrm flipV="1">
                    <a:off x="13244748" y="4767664"/>
                    <a:ext cx="0" cy="36000"/>
                  </a:xfrm>
                  <a:prstGeom prst="line">
                    <a:avLst/>
                  </a:prstGeom>
                  <a:ln w="6350">
                    <a:solidFill>
                      <a:schemeClr val="bg1"/>
                    </a:solidFill>
                  </a:ln>
                </xdr:spPr>
                <xdr:style>
                  <a:lnRef idx="2">
                    <a:schemeClr val="accent1"/>
                  </a:lnRef>
                  <a:fillRef idx="0">
                    <a:schemeClr val="accent1"/>
                  </a:fillRef>
                  <a:effectRef idx="1">
                    <a:schemeClr val="accent1"/>
                  </a:effectRef>
                  <a:fontRef idx="minor">
                    <a:schemeClr val="tx1"/>
                  </a:fontRef>
                </xdr:style>
              </xdr:cxnSp>
              <xdr:grpSp>
                <xdr:nvGrpSpPr>
                  <xdr:cNvPr id="1169" name="Group 1168">
                    <a:extLst>
                      <a:ext uri="{FF2B5EF4-FFF2-40B4-BE49-F238E27FC236}">
                        <a16:creationId xmlns:a16="http://schemas.microsoft.com/office/drawing/2014/main" id="{00000000-0008-0000-0000-000091040000}"/>
                      </a:ext>
                    </a:extLst>
                  </xdr:cNvPr>
                  <xdr:cNvGrpSpPr/>
                </xdr:nvGrpSpPr>
                <xdr:grpSpPr>
                  <a:xfrm>
                    <a:off x="12425821" y="4748614"/>
                    <a:ext cx="1628822" cy="162772"/>
                    <a:chOff x="12432323" y="4764698"/>
                    <a:chExt cx="1629507" cy="163391"/>
                  </a:xfrm>
                </xdr:grpSpPr>
                <xdr:grpSp>
                  <xdr:nvGrpSpPr>
                    <xdr:cNvPr id="1166" name="Group 1165">
                      <a:extLst>
                        <a:ext uri="{FF2B5EF4-FFF2-40B4-BE49-F238E27FC236}">
                          <a16:creationId xmlns:a16="http://schemas.microsoft.com/office/drawing/2014/main" id="{00000000-0008-0000-0000-00008E040000}"/>
                        </a:ext>
                      </a:extLst>
                    </xdr:cNvPr>
                    <xdr:cNvGrpSpPr/>
                  </xdr:nvGrpSpPr>
                  <xdr:grpSpPr>
                    <a:xfrm>
                      <a:off x="12596446" y="4764698"/>
                      <a:ext cx="1298331" cy="51288"/>
                      <a:chOff x="12596446" y="4764698"/>
                      <a:chExt cx="1298331" cy="51288"/>
                    </a:xfrm>
                  </xdr:grpSpPr>
                  <xdr:cxnSp macro="">
                    <xdr:nvCxnSpPr>
                      <xdr:cNvPr id="1147" name="Straight Connector 1146">
                        <a:extLst>
                          <a:ext uri="{FF2B5EF4-FFF2-40B4-BE49-F238E27FC236}">
                            <a16:creationId xmlns:a16="http://schemas.microsoft.com/office/drawing/2014/main" id="{00000000-0008-0000-0000-00007B040000}"/>
                          </a:ext>
                        </a:extLst>
                      </xdr:cNvPr>
                      <xdr:cNvCxnSpPr/>
                    </xdr:nvCxnSpPr>
                    <xdr:spPr>
                      <a:xfrm>
                        <a:off x="12597087" y="4815162"/>
                        <a:ext cx="1297690" cy="0"/>
                      </a:xfrm>
                      <a:prstGeom prst="line">
                        <a:avLst/>
                      </a:prstGeom>
                      <a:ln w="6350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/>
                      </a:lnRef>
                      <a:fillRef idx="0">
                        <a:schemeClr val="accent1"/>
                      </a:fillRef>
                      <a:effectRef idx="1">
                        <a:schemeClr val="accent1"/>
                      </a:effectRef>
                      <a:fontRef idx="minor">
                        <a:schemeClr val="tx1"/>
                      </a:fontRef>
                    </xdr:style>
                  </xdr:cxnSp>
                  <xdr:cxnSp macro="">
                    <xdr:nvCxnSpPr>
                      <xdr:cNvPr id="1157" name="Straight Connector 1156">
                        <a:extLst>
                          <a:ext uri="{FF2B5EF4-FFF2-40B4-BE49-F238E27FC236}">
                            <a16:creationId xmlns:a16="http://schemas.microsoft.com/office/drawing/2014/main" id="{00000000-0008-0000-0000-000085040000}"/>
                          </a:ext>
                        </a:extLst>
                      </xdr:cNvPr>
                      <xdr:cNvCxnSpPr/>
                    </xdr:nvCxnSpPr>
                    <xdr:spPr>
                      <a:xfrm flipV="1">
                        <a:off x="13894777" y="4764698"/>
                        <a:ext cx="0" cy="51288"/>
                      </a:xfrm>
                      <a:prstGeom prst="line">
                        <a:avLst/>
                      </a:prstGeom>
                      <a:ln w="6350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/>
                      </a:lnRef>
                      <a:fillRef idx="0">
                        <a:schemeClr val="accent1"/>
                      </a:fillRef>
                      <a:effectRef idx="1">
                        <a:schemeClr val="accent1"/>
                      </a:effectRef>
                      <a:fontRef idx="minor">
                        <a:schemeClr val="tx1"/>
                      </a:fontRef>
                    </xdr:style>
                  </xdr:cxnSp>
                  <xdr:cxnSp macro="">
                    <xdr:nvCxnSpPr>
                      <xdr:cNvPr id="1164" name="Straight Connector 1163">
                        <a:extLst>
                          <a:ext uri="{FF2B5EF4-FFF2-40B4-BE49-F238E27FC236}">
                            <a16:creationId xmlns:a16="http://schemas.microsoft.com/office/drawing/2014/main" id="{00000000-0008-0000-0000-00008C040000}"/>
                          </a:ext>
                        </a:extLst>
                      </xdr:cNvPr>
                      <xdr:cNvCxnSpPr/>
                    </xdr:nvCxnSpPr>
                    <xdr:spPr>
                      <a:xfrm flipV="1">
                        <a:off x="12596446" y="4764698"/>
                        <a:ext cx="0" cy="51288"/>
                      </a:xfrm>
                      <a:prstGeom prst="line">
                        <a:avLst/>
                      </a:prstGeom>
                      <a:ln w="6350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/>
                      </a:lnRef>
                      <a:fillRef idx="0">
                        <a:schemeClr val="accent1"/>
                      </a:fillRef>
                      <a:effectRef idx="1">
                        <a:schemeClr val="accent1"/>
                      </a:effectRef>
                      <a:fontRef idx="minor">
                        <a:schemeClr val="tx1"/>
                      </a:fontRef>
                    </xdr:style>
                  </xdr:cxnSp>
                </xdr:grpSp>
                <xdr:sp macro="" textlink="">
                  <xdr:nvSpPr>
                    <xdr:cNvPr id="1167" name="TextBox 1166">
                      <a:extLst>
                        <a:ext uri="{FF2B5EF4-FFF2-40B4-BE49-F238E27FC236}">
                          <a16:creationId xmlns:a16="http://schemas.microsoft.com/office/drawing/2014/main" id="{00000000-0008-0000-0000-00008F040000}"/>
                        </a:ext>
                      </a:extLst>
                    </xdr:cNvPr>
                    <xdr:cNvSpPr txBox="1"/>
                  </xdr:nvSpPr>
                  <xdr:spPr>
                    <a:xfrm>
                      <a:off x="12432323" y="4848958"/>
                      <a:ext cx="328246" cy="7913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r>
                        <a:rPr lang="en-GB" sz="500">
                          <a:solidFill>
                            <a:schemeClr val="bg1"/>
                          </a:solidFill>
                        </a:rPr>
                        <a:t>0%</a:t>
                      </a:r>
                      <a:endParaRPr lang="LID4096" sz="500">
                        <a:solidFill>
                          <a:schemeClr val="bg1"/>
                        </a:solidFill>
                      </a:endParaRPr>
                    </a:p>
                  </xdr:txBody>
                </xdr:sp>
                <xdr:sp macro="" textlink="">
                  <xdr:nvSpPr>
                    <xdr:cNvPr id="1168" name="TextBox 1167">
                      <a:extLst>
                        <a:ext uri="{FF2B5EF4-FFF2-40B4-BE49-F238E27FC236}">
                          <a16:creationId xmlns:a16="http://schemas.microsoft.com/office/drawing/2014/main" id="{00000000-0008-0000-0000-000090040000}"/>
                        </a:ext>
                      </a:extLst>
                    </xdr:cNvPr>
                    <xdr:cNvSpPr txBox="1"/>
                  </xdr:nvSpPr>
                  <xdr:spPr>
                    <a:xfrm>
                      <a:off x="13733584" y="4848958"/>
                      <a:ext cx="328246" cy="7913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r>
                        <a:rPr lang="en-GB" sz="500">
                          <a:solidFill>
                            <a:schemeClr val="bg1"/>
                          </a:solidFill>
                        </a:rPr>
                        <a:t>0%</a:t>
                      </a:r>
                      <a:endParaRPr lang="LID4096" sz="500">
                        <a:solidFill>
                          <a:schemeClr val="bg1"/>
                        </a:solidFill>
                      </a:endParaRPr>
                    </a:p>
                  </xdr:txBody>
                </xdr:sp>
              </xdr:grpSp>
            </xdr:grpSp>
          </xdr:grpSp>
        </xdr:grpSp>
      </xdr:grpSp>
      <xdr:sp macro="" textlink="">
        <xdr:nvSpPr>
          <xdr:cNvPr id="1185" name="TextBox 1184">
            <a:extLst>
              <a:ext uri="{FF2B5EF4-FFF2-40B4-BE49-F238E27FC236}">
                <a16:creationId xmlns:a16="http://schemas.microsoft.com/office/drawing/2014/main" id="{00000000-0008-0000-0000-0000A1040000}"/>
              </a:ext>
            </a:extLst>
          </xdr:cNvPr>
          <xdr:cNvSpPr txBox="1"/>
        </xdr:nvSpPr>
        <xdr:spPr>
          <a:xfrm>
            <a:off x="11067090" y="2261069"/>
            <a:ext cx="2798902" cy="421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GB" sz="1600">
                <a:solidFill>
                  <a:schemeClr val="bg1"/>
                </a:solidFill>
              </a:rPr>
              <a:t>ALL</a:t>
            </a:r>
            <a:r>
              <a:rPr lang="en-GB" sz="1600" baseline="0">
                <a:solidFill>
                  <a:schemeClr val="bg1"/>
                </a:solidFill>
              </a:rPr>
              <a:t> TASKS PER TENANT / PHASE</a:t>
            </a:r>
            <a:endParaRPr lang="LID4096" sz="16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0</xdr:col>
      <xdr:colOff>82112</xdr:colOff>
      <xdr:row>30</xdr:row>
      <xdr:rowOff>171701</xdr:rowOff>
    </xdr:from>
    <xdr:to>
      <xdr:col>21</xdr:col>
      <xdr:colOff>541939</xdr:colOff>
      <xdr:row>33</xdr:row>
      <xdr:rowOff>51020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82112" y="5680135"/>
          <a:ext cx="14075987" cy="430162"/>
          <a:chOff x="82112" y="5591098"/>
          <a:chExt cx="14024741" cy="421259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82112" y="5693102"/>
            <a:ext cx="14024741" cy="213493"/>
          </a:xfrm>
          <a:prstGeom prst="rect">
            <a:avLst/>
          </a:prstGeom>
          <a:noFill/>
          <a:ln>
            <a:solidFill>
              <a:srgbClr val="15608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LID4096" sz="1100"/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30637" y="5591098"/>
            <a:ext cx="2990497" cy="421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GB" sz="1200">
                <a:solidFill>
                  <a:schemeClr val="bg1"/>
                </a:solidFill>
              </a:rPr>
              <a:t>© Night City Shogun 2024</a:t>
            </a:r>
            <a:endParaRPr lang="LID4096" sz="12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21</xdr:col>
      <xdr:colOff>514491</xdr:colOff>
      <xdr:row>3</xdr:row>
      <xdr:rowOff>98037</xdr:rowOff>
    </xdr:from>
    <xdr:to>
      <xdr:col>21</xdr:col>
      <xdr:colOff>514491</xdr:colOff>
      <xdr:row>11</xdr:row>
      <xdr:rowOff>37425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14102397" y="639977"/>
          <a:ext cx="0" cy="1384560"/>
        </a:xfrm>
        <a:prstGeom prst="line">
          <a:avLst/>
        </a:prstGeom>
        <a:ln w="28575"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555078</xdr:colOff>
      <xdr:row>3</xdr:row>
      <xdr:rowOff>7323</xdr:rowOff>
    </xdr:from>
    <xdr:to>
      <xdr:col>21</xdr:col>
      <xdr:colOff>534430</xdr:colOff>
      <xdr:row>11</xdr:row>
      <xdr:rowOff>42981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1851855" y="558166"/>
          <a:ext cx="12298735" cy="1504574"/>
          <a:chOff x="1848473" y="548744"/>
          <a:chExt cx="12266602" cy="1479448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GrpSpPr/>
        </xdr:nvGrpSpPr>
        <xdr:grpSpPr>
          <a:xfrm>
            <a:off x="1868233" y="638180"/>
            <a:ext cx="12246842" cy="1390012"/>
            <a:chOff x="1868924" y="638771"/>
            <a:chExt cx="12253412" cy="1391321"/>
          </a:xfrm>
        </xdr:grpSpPr>
        <xdr:grpSp>
          <xdr:nvGrpSpPr>
            <xdr:cNvPr id="20" name="Group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GrpSpPr/>
          </xdr:nvGrpSpPr>
          <xdr:grpSpPr>
            <a:xfrm>
              <a:off x="1868924" y="638771"/>
              <a:ext cx="12253412" cy="1391321"/>
              <a:chOff x="1868924" y="638771"/>
              <a:chExt cx="12253412" cy="1391321"/>
            </a:xfrm>
          </xdr:grpSpPr>
          <xdr:grpSp>
            <xdr:nvGrpSpPr>
              <xdr:cNvPr id="1028" name="Group 1027">
                <a:extLs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GrpSpPr/>
            </xdr:nvGrpSpPr>
            <xdr:grpSpPr>
              <a:xfrm>
                <a:off x="1868924" y="638771"/>
                <a:ext cx="12253412" cy="1391321"/>
                <a:chOff x="1875960" y="636665"/>
                <a:chExt cx="12318614" cy="1386819"/>
              </a:xfrm>
            </xdr:grpSpPr>
            <xdr:grpSp>
              <xdr:nvGrpSpPr>
                <xdr:cNvPr id="1091" name="Group 1090">
                  <a:extLst>
                    <a:ext uri="{FF2B5EF4-FFF2-40B4-BE49-F238E27FC236}">
                      <a16:creationId xmlns:a16="http://schemas.microsoft.com/office/drawing/2014/main" id="{00000000-0008-0000-0000-000043040000}"/>
                    </a:ext>
                  </a:extLst>
                </xdr:cNvPr>
                <xdr:cNvGrpSpPr/>
              </xdr:nvGrpSpPr>
              <xdr:grpSpPr>
                <a:xfrm>
                  <a:off x="1875960" y="636665"/>
                  <a:ext cx="12318614" cy="1386819"/>
                  <a:chOff x="1875960" y="636665"/>
                  <a:chExt cx="12318614" cy="1386819"/>
                </a:xfrm>
              </xdr:grpSpPr>
              <xdr:grpSp>
                <xdr:nvGrpSpPr>
                  <xdr:cNvPr id="1053" name="Group 1052">
                    <a:extLst>
                      <a:ext uri="{FF2B5EF4-FFF2-40B4-BE49-F238E27FC236}">
                        <a16:creationId xmlns:a16="http://schemas.microsoft.com/office/drawing/2014/main" id="{00000000-0008-0000-0000-00001D040000}"/>
                      </a:ext>
                    </a:extLst>
                  </xdr:cNvPr>
                  <xdr:cNvGrpSpPr/>
                </xdr:nvGrpSpPr>
                <xdr:grpSpPr>
                  <a:xfrm>
                    <a:off x="1881770" y="642473"/>
                    <a:ext cx="6127361" cy="1120930"/>
                    <a:chOff x="1881770" y="638872"/>
                    <a:chExt cx="6127361" cy="1120930"/>
                  </a:xfrm>
                </xdr:grpSpPr>
                <xdr:sp macro="" textlink="">
                  <xdr:nvSpPr>
                    <xdr:cNvPr id="8" name="Rectangle 7">
                      <a:extLst>
                        <a:ext uri="{FF2B5EF4-FFF2-40B4-BE49-F238E27FC236}">
                          <a16:creationId xmlns:a16="http://schemas.microsoft.com/office/drawing/2014/main" id="{00000000-0008-0000-0000-000008000000}"/>
                        </a:ext>
                      </a:extLst>
                    </xdr:cNvPr>
                    <xdr:cNvSpPr/>
                  </xdr:nvSpPr>
                  <xdr:spPr>
                    <a:xfrm>
                      <a:off x="1881770" y="638872"/>
                      <a:ext cx="6127361" cy="784070"/>
                    </a:xfrm>
                    <a:prstGeom prst="rect">
                      <a:avLst/>
                    </a:prstGeom>
                    <a:solidFill>
                      <a:srgbClr val="156082"/>
                    </a:solidFill>
                    <a:ln>
                      <a:solidFill>
                        <a:schemeClr val="accent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LID4096" sz="1100"/>
                    </a:p>
                  </xdr:txBody>
                </xdr:sp>
                <xdr:grpSp>
                  <xdr:nvGrpSpPr>
                    <xdr:cNvPr id="11" name="Group 10">
                      <a:extLst>
                        <a:ext uri="{FF2B5EF4-FFF2-40B4-BE49-F238E27FC236}">
                          <a16:creationId xmlns:a16="http://schemas.microsoft.com/office/drawing/2014/main" id="{00000000-0008-0000-0000-00000B000000}"/>
                        </a:ext>
                      </a:extLst>
                    </xdr:cNvPr>
                    <xdr:cNvGrpSpPr/>
                  </xdr:nvGrpSpPr>
                  <xdr:grpSpPr>
                    <a:xfrm>
                      <a:off x="1899690" y="897673"/>
                      <a:ext cx="6086779" cy="862129"/>
                      <a:chOff x="1899690" y="897673"/>
                      <a:chExt cx="6086779" cy="862129"/>
                    </a:xfrm>
                  </xdr:grpSpPr>
                  <xdr:grpSp>
                    <xdr:nvGrpSpPr>
                      <xdr:cNvPr id="41" name="Group 40">
                        <a:extLst>
                          <a:ext uri="{FF2B5EF4-FFF2-40B4-BE49-F238E27FC236}">
                            <a16:creationId xmlns:a16="http://schemas.microsoft.com/office/drawing/2014/main" id="{00000000-0008-0000-0000-000029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99690" y="897673"/>
                        <a:ext cx="1513891" cy="862129"/>
                        <a:chOff x="58576" y="47625"/>
                        <a:chExt cx="1509813" cy="862129"/>
                      </a:xfrm>
                    </xdr:grpSpPr>
                    <xdr:grpSp>
                      <xdr:nvGrpSpPr>
                        <xdr:cNvPr id="14" name="Group 13">
                          <a:extLst>
                            <a:ext uri="{FF2B5EF4-FFF2-40B4-BE49-F238E27FC236}">
                              <a16:creationId xmlns:a16="http://schemas.microsoft.com/office/drawing/2014/main" id="{00000000-0008-0000-0000-00000E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6675" y="47625"/>
                          <a:ext cx="1496239" cy="862129"/>
                          <a:chOff x="85725" y="61913"/>
                          <a:chExt cx="1833563" cy="1147762"/>
                        </a:xfrm>
                      </xdr:grpSpPr>
                      <xdr:sp macro="" textlink="">
                        <xdr:nvSpPr>
                          <xdr:cNvPr id="16" name="Rectangle 15">
                            <a:extLst>
                              <a:ext uri="{FF2B5EF4-FFF2-40B4-BE49-F238E27FC236}">
                                <a16:creationId xmlns:a16="http://schemas.microsoft.com/office/drawing/2014/main" id="{00000000-0008-0000-0000-000010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85725" y="61913"/>
                            <a:ext cx="1833563" cy="1147762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>
                            <a:solidFill>
                              <a:schemeClr val="accent1"/>
                            </a:solidFill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LID4096" sz="1100"/>
                          </a:p>
                        </xdr:txBody>
                      </xdr:sp>
                      <xdr:sp macro="" textlink="METRICS!O2">
                        <xdr:nvSpPr>
                          <xdr:cNvPr id="17" name="TextBox 16">
                            <a:extLst>
                              <a:ext uri="{FF2B5EF4-FFF2-40B4-BE49-F238E27FC236}">
                                <a16:creationId xmlns:a16="http://schemas.microsoft.com/office/drawing/2014/main" id="{00000000-0008-0000-0000-00001100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85737" y="241656"/>
                            <a:ext cx="1643062" cy="514349"/>
                          </a:xfrm>
                          <a:prstGeom prst="rect">
                            <a:avLst/>
                          </a:prstGeom>
                          <a:solidFill>
                            <a:schemeClr val="lt1"/>
                          </a:solidFill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ctr"/>
                            <a:fld id="{FEC921AB-FBF1-47DC-A85C-19E26AB8BE1F}" type="TxLink">
                              <a:rPr lang="en-US" sz="4000" b="1" i="0" u="none" strike="noStrike">
                                <a:solidFill>
                                  <a:srgbClr val="000000"/>
                                </a:solidFill>
                                <a:latin typeface="Aptos Narrow"/>
                              </a:rPr>
                              <a:pPr algn="ctr"/>
                              <a:t>0</a:t>
                            </a:fld>
                            <a:endParaRPr lang="LID4096" sz="71400" b="1"/>
                          </a:p>
                        </xdr:txBody>
                      </xdr:sp>
                      <xdr:sp macro="" textlink="">
                        <xdr:nvSpPr>
                          <xdr:cNvPr id="18" name="Rectangle 17">
                            <a:extLst>
                              <a:ext uri="{FF2B5EF4-FFF2-40B4-BE49-F238E27FC236}">
                                <a16:creationId xmlns:a16="http://schemas.microsoft.com/office/drawing/2014/main" id="{00000000-0008-0000-0000-000012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00788" y="952500"/>
                            <a:ext cx="1817662" cy="257173"/>
                          </a:xfrm>
                          <a:prstGeom prst="rect">
                            <a:avLst/>
                          </a:prstGeom>
                          <a:solidFill>
                            <a:srgbClr val="156082"/>
                          </a:solidFill>
                          <a:ln>
                            <a:solidFill>
                              <a:schemeClr val="accent1"/>
                            </a:solidFill>
                          </a:ln>
                          <a:effectLst/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LID4096" sz="1100"/>
                          </a:p>
                        </xdr:txBody>
                      </xdr:sp>
                    </xdr:grpSp>
                    <xdr:sp macro="" textlink="">
                      <xdr:nvSpPr>
                        <xdr:cNvPr id="40" name="TextBox 39">
                          <a:extLst>
                            <a:ext uri="{FF2B5EF4-FFF2-40B4-BE49-F238E27FC236}">
                              <a16:creationId xmlns:a16="http://schemas.microsoft.com/office/drawing/2014/main" id="{00000000-0008-0000-0000-00002800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8576" y="744325"/>
                          <a:ext cx="1509813" cy="16148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ctr"/>
                          <a:r>
                            <a:rPr lang="en-US" sz="900" b="1" i="0" u="none" strike="noStrike">
                              <a:solidFill>
                                <a:schemeClr val="bg1"/>
                              </a:solidFill>
                              <a:latin typeface="Aptos Narrow"/>
                            </a:rPr>
                            <a:t>#</a:t>
                          </a:r>
                          <a:r>
                            <a:rPr lang="en-US" sz="900" b="1" i="0" u="none" strike="noStrike" baseline="0">
                              <a:solidFill>
                                <a:schemeClr val="bg1"/>
                              </a:solidFill>
                              <a:latin typeface="Aptos Narrow"/>
                            </a:rPr>
                            <a:t> TOTAL TASKS</a:t>
                          </a:r>
                          <a:endParaRPr lang="en-US" sz="900" b="1" i="0" u="none" strike="noStrike">
                            <a:solidFill>
                              <a:schemeClr val="bg1"/>
                            </a:solidFill>
                            <a:latin typeface="Aptos Narrow"/>
                          </a:endParaRPr>
                        </a:p>
                      </xdr:txBody>
                    </xdr:sp>
                  </xdr:grpSp>
                  <xdr:grpSp>
                    <xdr:nvGrpSpPr>
                      <xdr:cNvPr id="43" name="Group 42">
                        <a:extLst>
                          <a:ext uri="{FF2B5EF4-FFF2-40B4-BE49-F238E27FC236}">
                            <a16:creationId xmlns:a16="http://schemas.microsoft.com/office/drawing/2014/main" id="{00000000-0008-0000-0000-00002B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423986" y="897673"/>
                        <a:ext cx="1513891" cy="862129"/>
                        <a:chOff x="58576" y="47625"/>
                        <a:chExt cx="1509813" cy="862129"/>
                      </a:xfrm>
                    </xdr:grpSpPr>
                    <xdr:grpSp>
                      <xdr:nvGrpSpPr>
                        <xdr:cNvPr id="44" name="Group 43">
                          <a:extLst>
                            <a:ext uri="{FF2B5EF4-FFF2-40B4-BE49-F238E27FC236}">
                              <a16:creationId xmlns:a16="http://schemas.microsoft.com/office/drawing/2014/main" id="{00000000-0008-0000-0000-00002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6675" y="47625"/>
                          <a:ext cx="1496239" cy="862129"/>
                          <a:chOff x="85725" y="61913"/>
                          <a:chExt cx="1833563" cy="1147762"/>
                        </a:xfrm>
                      </xdr:grpSpPr>
                      <xdr:sp macro="" textlink="">
                        <xdr:nvSpPr>
                          <xdr:cNvPr id="46" name="Rectangle 45">
                            <a:extLst>
                              <a:ext uri="{FF2B5EF4-FFF2-40B4-BE49-F238E27FC236}">
                                <a16:creationId xmlns:a16="http://schemas.microsoft.com/office/drawing/2014/main" id="{00000000-0008-0000-0000-00002E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85725" y="61913"/>
                            <a:ext cx="1833563" cy="1147762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>
                            <a:solidFill>
                              <a:schemeClr val="accent1"/>
                            </a:solidFill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LID4096" sz="1100"/>
                          </a:p>
                        </xdr:txBody>
                      </xdr:sp>
                      <xdr:sp macro="" textlink="METRICS!P2">
                        <xdr:nvSpPr>
                          <xdr:cNvPr id="47" name="TextBox 46">
                            <a:extLst>
                              <a:ext uri="{FF2B5EF4-FFF2-40B4-BE49-F238E27FC236}">
                                <a16:creationId xmlns:a16="http://schemas.microsoft.com/office/drawing/2014/main" id="{00000000-0008-0000-0000-00002F00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85737" y="241656"/>
                            <a:ext cx="1643062" cy="514349"/>
                          </a:xfrm>
                          <a:prstGeom prst="rect">
                            <a:avLst/>
                          </a:prstGeom>
                          <a:solidFill>
                            <a:schemeClr val="lt1"/>
                          </a:solidFill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ctr"/>
                            <a:fld id="{7C5F69EA-DF59-4B88-A318-304D84687860}" type="TxLink">
                              <a:rPr lang="en-US" sz="4000" b="1" i="0" u="none" strike="noStrike">
                                <a:solidFill>
                                  <a:srgbClr val="000000"/>
                                </a:solidFill>
                                <a:latin typeface="Aptos Narrow"/>
                              </a:rPr>
                              <a:pPr algn="ctr"/>
                              <a:t>0</a:t>
                            </a:fld>
                            <a:endParaRPr lang="LID4096" sz="71400" b="1"/>
                          </a:p>
                        </xdr:txBody>
                      </xdr:sp>
                      <xdr:sp macro="" textlink="">
                        <xdr:nvSpPr>
                          <xdr:cNvPr id="48" name="Rectangle 47">
                            <a:extLst>
                              <a:ext uri="{FF2B5EF4-FFF2-40B4-BE49-F238E27FC236}">
                                <a16:creationId xmlns:a16="http://schemas.microsoft.com/office/drawing/2014/main" id="{00000000-0008-0000-0000-000030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00788" y="952500"/>
                            <a:ext cx="1817662" cy="257173"/>
                          </a:xfrm>
                          <a:prstGeom prst="rect">
                            <a:avLst/>
                          </a:prstGeom>
                          <a:solidFill>
                            <a:srgbClr val="156082"/>
                          </a:solidFill>
                          <a:ln>
                            <a:solidFill>
                              <a:schemeClr val="accent1"/>
                            </a:solidFill>
                          </a:ln>
                          <a:effectLst/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LID4096" sz="1100"/>
                          </a:p>
                        </xdr:txBody>
                      </xdr:sp>
                    </xdr:grpSp>
                    <xdr:sp macro="" textlink="">
                      <xdr:nvSpPr>
                        <xdr:cNvPr id="45" name="TextBox 44">
                          <a:extLst>
                            <a:ext uri="{FF2B5EF4-FFF2-40B4-BE49-F238E27FC236}">
                              <a16:creationId xmlns:a16="http://schemas.microsoft.com/office/drawing/2014/main" id="{00000000-0008-0000-0000-00002D00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8576" y="744325"/>
                          <a:ext cx="1509813" cy="16148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ctr"/>
                          <a:r>
                            <a:rPr lang="en-US" sz="900" b="1" i="0">
                              <a:solidFill>
                                <a:schemeClr val="bg1"/>
                              </a:solidFill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  <a:t>#</a:t>
                          </a:r>
                          <a:r>
                            <a:rPr lang="en-US" sz="900" b="1" i="0" baseline="0">
                              <a:solidFill>
                                <a:schemeClr val="bg1"/>
                              </a:solidFill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  <a:t>  </a:t>
                          </a:r>
                          <a:r>
                            <a:rPr lang="en-US" sz="900" b="1" i="0" u="none" strike="noStrike">
                              <a:solidFill>
                                <a:schemeClr val="bg1"/>
                              </a:solidFill>
                              <a:latin typeface="Aptos Narrow"/>
                            </a:rPr>
                            <a:t>COMPLETE</a:t>
                          </a:r>
                        </a:p>
                      </xdr:txBody>
                    </xdr:sp>
                  </xdr:grpSp>
                  <xdr:grpSp>
                    <xdr:nvGrpSpPr>
                      <xdr:cNvPr id="49" name="Group 48">
                        <a:extLst>
                          <a:ext uri="{FF2B5EF4-FFF2-40B4-BE49-F238E27FC236}">
                            <a16:creationId xmlns:a16="http://schemas.microsoft.com/office/drawing/2014/main" id="{00000000-0008-0000-0000-00003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948282" y="897673"/>
                        <a:ext cx="1513891" cy="862129"/>
                        <a:chOff x="58576" y="47625"/>
                        <a:chExt cx="1509813" cy="862129"/>
                      </a:xfrm>
                    </xdr:grpSpPr>
                    <xdr:grpSp>
                      <xdr:nvGrpSpPr>
                        <xdr:cNvPr id="50" name="Group 49">
                          <a:extLst>
                            <a:ext uri="{FF2B5EF4-FFF2-40B4-BE49-F238E27FC236}">
                              <a16:creationId xmlns:a16="http://schemas.microsoft.com/office/drawing/2014/main" id="{00000000-0008-0000-0000-000032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6675" y="47625"/>
                          <a:ext cx="1496239" cy="862129"/>
                          <a:chOff x="85725" y="61913"/>
                          <a:chExt cx="1833563" cy="1147762"/>
                        </a:xfrm>
                      </xdr:grpSpPr>
                      <xdr:sp macro="" textlink="">
                        <xdr:nvSpPr>
                          <xdr:cNvPr id="52" name="Rectangle 51">
                            <a:extLst>
                              <a:ext uri="{FF2B5EF4-FFF2-40B4-BE49-F238E27FC236}">
                                <a16:creationId xmlns:a16="http://schemas.microsoft.com/office/drawing/2014/main" id="{00000000-0008-0000-0000-000034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85725" y="61913"/>
                            <a:ext cx="1833563" cy="1147762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>
                            <a:solidFill>
                              <a:schemeClr val="accent1"/>
                            </a:solidFill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LID4096" sz="1100"/>
                          </a:p>
                        </xdr:txBody>
                      </xdr:sp>
                      <xdr:sp macro="" textlink="METRICS!Q2">
                        <xdr:nvSpPr>
                          <xdr:cNvPr id="53" name="TextBox 52">
                            <a:extLst>
                              <a:ext uri="{FF2B5EF4-FFF2-40B4-BE49-F238E27FC236}">
                                <a16:creationId xmlns:a16="http://schemas.microsoft.com/office/drawing/2014/main" id="{00000000-0008-0000-0000-00003500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85737" y="241656"/>
                            <a:ext cx="1643062" cy="514349"/>
                          </a:xfrm>
                          <a:prstGeom prst="rect">
                            <a:avLst/>
                          </a:prstGeom>
                          <a:solidFill>
                            <a:schemeClr val="lt1"/>
                          </a:solidFill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ctr"/>
                            <a:fld id="{59550ABC-4183-4408-A8A2-661BC7DC734A}" type="TxLink">
                              <a:rPr lang="en-US" sz="4000" b="1" i="0" u="none" strike="noStrike">
                                <a:solidFill>
                                  <a:srgbClr val="000000"/>
                                </a:solidFill>
                                <a:latin typeface="Aptos Narrow"/>
                              </a:rPr>
                              <a:pPr algn="ctr"/>
                              <a:t>0</a:t>
                            </a:fld>
                            <a:endParaRPr lang="LID4096" sz="11500" b="1"/>
                          </a:p>
                        </xdr:txBody>
                      </xdr:sp>
                      <xdr:sp macro="" textlink="">
                        <xdr:nvSpPr>
                          <xdr:cNvPr id="54" name="Rectangle 53">
                            <a:extLst>
                              <a:ext uri="{FF2B5EF4-FFF2-40B4-BE49-F238E27FC236}">
                                <a16:creationId xmlns:a16="http://schemas.microsoft.com/office/drawing/2014/main" id="{00000000-0008-0000-0000-000036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00788" y="952500"/>
                            <a:ext cx="1817662" cy="257173"/>
                          </a:xfrm>
                          <a:prstGeom prst="rect">
                            <a:avLst/>
                          </a:prstGeom>
                          <a:solidFill>
                            <a:srgbClr val="156082"/>
                          </a:solidFill>
                          <a:ln>
                            <a:solidFill>
                              <a:schemeClr val="accent1"/>
                            </a:solidFill>
                          </a:ln>
                          <a:effectLst/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LID4096" sz="1100"/>
                          </a:p>
                        </xdr:txBody>
                      </xdr:sp>
                    </xdr:grpSp>
                    <xdr:sp macro="" textlink="">
                      <xdr:nvSpPr>
                        <xdr:cNvPr id="51" name="TextBox 50">
                          <a:extLst>
                            <a:ext uri="{FF2B5EF4-FFF2-40B4-BE49-F238E27FC236}">
                              <a16:creationId xmlns:a16="http://schemas.microsoft.com/office/drawing/2014/main" id="{00000000-0008-0000-0000-00003300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8576" y="744325"/>
                          <a:ext cx="1509813" cy="16148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ctr"/>
                          <a:r>
                            <a:rPr lang="en-US" sz="900" b="1" i="0">
                              <a:solidFill>
                                <a:schemeClr val="bg1"/>
                              </a:solidFill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  <a:t>#</a:t>
                          </a:r>
                          <a:r>
                            <a:rPr lang="en-US" sz="1100" b="1" i="0" baseline="0">
                              <a:solidFill>
                                <a:schemeClr val="dk1"/>
                              </a:solidFill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  <a:t>  </a:t>
                          </a:r>
                          <a:r>
                            <a:rPr lang="en-US" sz="900" b="1" i="0" u="none" strike="noStrike">
                              <a:solidFill>
                                <a:schemeClr val="bg1"/>
                              </a:solidFill>
                              <a:latin typeface="Aptos Narrow"/>
                            </a:rPr>
                            <a:t>ACTIVE</a:t>
                          </a:r>
                        </a:p>
                      </xdr:txBody>
                    </xdr:sp>
                  </xdr:grpSp>
                  <xdr:grpSp>
                    <xdr:nvGrpSpPr>
                      <xdr:cNvPr id="55" name="Group 54">
                        <a:extLst>
                          <a:ext uri="{FF2B5EF4-FFF2-40B4-BE49-F238E27FC236}">
                            <a16:creationId xmlns:a16="http://schemas.microsoft.com/office/drawing/2014/main" id="{00000000-0008-0000-0000-000037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472578" y="897673"/>
                        <a:ext cx="1513891" cy="862129"/>
                        <a:chOff x="58576" y="47625"/>
                        <a:chExt cx="1509813" cy="862129"/>
                      </a:xfrm>
                    </xdr:grpSpPr>
                    <xdr:grpSp>
                      <xdr:nvGrpSpPr>
                        <xdr:cNvPr id="56" name="Group 55">
                          <a:extLst>
                            <a:ext uri="{FF2B5EF4-FFF2-40B4-BE49-F238E27FC236}">
                              <a16:creationId xmlns:a16="http://schemas.microsoft.com/office/drawing/2014/main" id="{00000000-0008-0000-0000-000038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6675" y="47625"/>
                          <a:ext cx="1496239" cy="862129"/>
                          <a:chOff x="85725" y="61913"/>
                          <a:chExt cx="1833563" cy="1147762"/>
                        </a:xfrm>
                      </xdr:grpSpPr>
                      <xdr:sp macro="" textlink="">
                        <xdr:nvSpPr>
                          <xdr:cNvPr id="58" name="Rectangle 57">
                            <a:extLst>
                              <a:ext uri="{FF2B5EF4-FFF2-40B4-BE49-F238E27FC236}">
                                <a16:creationId xmlns:a16="http://schemas.microsoft.com/office/drawing/2014/main" id="{00000000-0008-0000-0000-00003A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85725" y="61913"/>
                            <a:ext cx="1833563" cy="1147762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>
                            <a:solidFill>
                              <a:schemeClr val="accent1"/>
                            </a:solidFill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LID4096" sz="1100"/>
                          </a:p>
                        </xdr:txBody>
                      </xdr:sp>
                      <xdr:sp macro="" textlink="METRICS!R2">
                        <xdr:nvSpPr>
                          <xdr:cNvPr id="59" name="TextBox 58">
                            <a:extLst>
                              <a:ext uri="{FF2B5EF4-FFF2-40B4-BE49-F238E27FC236}">
                                <a16:creationId xmlns:a16="http://schemas.microsoft.com/office/drawing/2014/main" id="{00000000-0008-0000-0000-00003B00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85737" y="241656"/>
                            <a:ext cx="1643062" cy="514349"/>
                          </a:xfrm>
                          <a:prstGeom prst="rect">
                            <a:avLst/>
                          </a:prstGeom>
                          <a:solidFill>
                            <a:schemeClr val="lt1"/>
                          </a:solidFill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ctr"/>
                            <a:fld id="{8B748240-5C40-4BC0-8EDF-7890F15F1510}" type="TxLink">
                              <a:rPr lang="en-US" sz="4000" b="1" i="0" u="none" strike="noStrike">
                                <a:solidFill>
                                  <a:srgbClr val="000000"/>
                                </a:solidFill>
                                <a:latin typeface="Aptos Narrow"/>
                              </a:rPr>
                              <a:pPr algn="ctr"/>
                              <a:t>0</a:t>
                            </a:fld>
                            <a:endParaRPr lang="LID4096" sz="11500" b="1"/>
                          </a:p>
                        </xdr:txBody>
                      </xdr:sp>
                      <xdr:sp macro="" textlink="">
                        <xdr:nvSpPr>
                          <xdr:cNvPr id="60" name="Rectangle 59">
                            <a:extLst>
                              <a:ext uri="{FF2B5EF4-FFF2-40B4-BE49-F238E27FC236}">
                                <a16:creationId xmlns:a16="http://schemas.microsoft.com/office/drawing/2014/main" id="{00000000-0008-0000-0000-00003C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00788" y="952500"/>
                            <a:ext cx="1817662" cy="257173"/>
                          </a:xfrm>
                          <a:prstGeom prst="rect">
                            <a:avLst/>
                          </a:prstGeom>
                          <a:solidFill>
                            <a:srgbClr val="156082"/>
                          </a:solidFill>
                          <a:ln>
                            <a:solidFill>
                              <a:schemeClr val="accent1"/>
                            </a:solidFill>
                          </a:ln>
                          <a:effectLst/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LID4096" sz="1100"/>
                          </a:p>
                        </xdr:txBody>
                      </xdr:sp>
                    </xdr:grpSp>
                    <xdr:sp macro="" textlink="">
                      <xdr:nvSpPr>
                        <xdr:cNvPr id="57" name="TextBox 56">
                          <a:extLst>
                            <a:ext uri="{FF2B5EF4-FFF2-40B4-BE49-F238E27FC236}">
                              <a16:creationId xmlns:a16="http://schemas.microsoft.com/office/drawing/2014/main" id="{00000000-0008-0000-0000-00003900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8576" y="744325"/>
                          <a:ext cx="1509813" cy="16148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ctr"/>
                          <a:r>
                            <a:rPr lang="en-US" sz="900" b="1" i="0">
                              <a:solidFill>
                                <a:schemeClr val="bg1"/>
                              </a:solidFill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  <a:t>#</a:t>
                          </a:r>
                          <a:r>
                            <a:rPr lang="en-US" sz="900" b="1" i="0" baseline="0">
                              <a:solidFill>
                                <a:schemeClr val="bg1"/>
                              </a:solidFill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  <a:t>  </a:t>
                          </a:r>
                          <a:r>
                            <a:rPr lang="en-US" sz="900" b="1" i="0" u="none" strike="noStrike">
                              <a:solidFill>
                                <a:schemeClr val="bg1"/>
                              </a:solidFill>
                              <a:latin typeface="Aptos Narrow"/>
                            </a:rPr>
                            <a:t>NOT</a:t>
                          </a:r>
                          <a:r>
                            <a:rPr lang="en-US" sz="900" b="1" i="0" u="none" strike="noStrike" baseline="0">
                              <a:solidFill>
                                <a:schemeClr val="bg1"/>
                              </a:solidFill>
                              <a:latin typeface="Aptos Narrow"/>
                            </a:rPr>
                            <a:t> STARTED</a:t>
                          </a:r>
                          <a:endParaRPr lang="en-US" sz="900" b="1" i="0" u="none" strike="noStrike">
                            <a:solidFill>
                              <a:schemeClr val="bg1"/>
                            </a:solidFill>
                            <a:latin typeface="Aptos Narrow"/>
                          </a:endParaRPr>
                        </a:p>
                      </xdr:txBody>
                    </xdr:sp>
                  </xdr:grpSp>
                </xdr:grpSp>
              </xdr:grpSp>
              <xdr:grpSp>
                <xdr:nvGrpSpPr>
                  <xdr:cNvPr id="1054" name="Group 1053">
                    <a:extLst>
                      <a:ext uri="{FF2B5EF4-FFF2-40B4-BE49-F238E27FC236}">
                        <a16:creationId xmlns:a16="http://schemas.microsoft.com/office/drawing/2014/main" id="{00000000-0008-0000-0000-00001E040000}"/>
                      </a:ext>
                    </a:extLst>
                  </xdr:cNvPr>
                  <xdr:cNvGrpSpPr/>
                </xdr:nvGrpSpPr>
                <xdr:grpSpPr>
                  <a:xfrm>
                    <a:off x="8056990" y="642473"/>
                    <a:ext cx="6127361" cy="1120930"/>
                    <a:chOff x="1881770" y="638872"/>
                    <a:chExt cx="6127361" cy="1120930"/>
                  </a:xfrm>
                </xdr:grpSpPr>
                <xdr:sp macro="" textlink="">
                  <xdr:nvSpPr>
                    <xdr:cNvPr id="1055" name="Rectangle 1054">
                      <a:extLst>
                        <a:ext uri="{FF2B5EF4-FFF2-40B4-BE49-F238E27FC236}">
                          <a16:creationId xmlns:a16="http://schemas.microsoft.com/office/drawing/2014/main" id="{00000000-0008-0000-0000-00001F040000}"/>
                        </a:ext>
                      </a:extLst>
                    </xdr:cNvPr>
                    <xdr:cNvSpPr/>
                  </xdr:nvSpPr>
                  <xdr:spPr>
                    <a:xfrm>
                      <a:off x="1881770" y="638872"/>
                      <a:ext cx="6127361" cy="784070"/>
                    </a:xfrm>
                    <a:prstGeom prst="rect">
                      <a:avLst/>
                    </a:prstGeom>
                    <a:solidFill>
                      <a:srgbClr val="156082"/>
                    </a:solidFill>
                    <a:ln>
                      <a:solidFill>
                        <a:schemeClr val="accent1"/>
                      </a:solidFill>
                    </a:ln>
                  </xdr:spPr>
                  <xdr:style>
                    <a:lnRef idx="2">
                      <a:schemeClr val="accent1">
                        <a:shade val="15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LID4096" sz="1100"/>
                    </a:p>
                  </xdr:txBody>
                </xdr:sp>
                <xdr:grpSp>
                  <xdr:nvGrpSpPr>
                    <xdr:cNvPr id="1056" name="Group 1055">
                      <a:extLst>
                        <a:ext uri="{FF2B5EF4-FFF2-40B4-BE49-F238E27FC236}">
                          <a16:creationId xmlns:a16="http://schemas.microsoft.com/office/drawing/2014/main" id="{00000000-0008-0000-0000-000020040000}"/>
                        </a:ext>
                      </a:extLst>
                    </xdr:cNvPr>
                    <xdr:cNvGrpSpPr/>
                  </xdr:nvGrpSpPr>
                  <xdr:grpSpPr>
                    <a:xfrm>
                      <a:off x="1899690" y="897673"/>
                      <a:ext cx="6086779" cy="862129"/>
                      <a:chOff x="1899690" y="897673"/>
                      <a:chExt cx="6086779" cy="862129"/>
                    </a:xfrm>
                  </xdr:grpSpPr>
                  <xdr:grpSp>
                    <xdr:nvGrpSpPr>
                      <xdr:cNvPr id="1057" name="Group 1056">
                        <a:extLst>
                          <a:ext uri="{FF2B5EF4-FFF2-40B4-BE49-F238E27FC236}">
                            <a16:creationId xmlns:a16="http://schemas.microsoft.com/office/drawing/2014/main" id="{00000000-0008-0000-0000-00002104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99690" y="897673"/>
                        <a:ext cx="1513891" cy="862129"/>
                        <a:chOff x="58576" y="47625"/>
                        <a:chExt cx="1509813" cy="862129"/>
                      </a:xfrm>
                    </xdr:grpSpPr>
                    <xdr:grpSp>
                      <xdr:nvGrpSpPr>
                        <xdr:cNvPr id="1076" name="Group 1075">
                          <a:extLst>
                            <a:ext uri="{FF2B5EF4-FFF2-40B4-BE49-F238E27FC236}">
                              <a16:creationId xmlns:a16="http://schemas.microsoft.com/office/drawing/2014/main" id="{00000000-0008-0000-0000-000034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6675" y="47625"/>
                          <a:ext cx="1496239" cy="862129"/>
                          <a:chOff x="85725" y="61913"/>
                          <a:chExt cx="1833563" cy="1147762"/>
                        </a:xfrm>
                      </xdr:grpSpPr>
                      <xdr:sp macro="" textlink="">
                        <xdr:nvSpPr>
                          <xdr:cNvPr id="1078" name="Rectangle 1077">
                            <a:extLst>
                              <a:ext uri="{FF2B5EF4-FFF2-40B4-BE49-F238E27FC236}">
                                <a16:creationId xmlns:a16="http://schemas.microsoft.com/office/drawing/2014/main" id="{00000000-0008-0000-0000-00003604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85725" y="61913"/>
                            <a:ext cx="1833563" cy="1147762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>
                            <a:solidFill>
                              <a:schemeClr val="accent1"/>
                            </a:solidFill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LID4096" sz="1100"/>
                          </a:p>
                        </xdr:txBody>
                      </xdr:sp>
                      <xdr:sp macro="" textlink="METRICS!K2">
                        <xdr:nvSpPr>
                          <xdr:cNvPr id="1079" name="TextBox 1078">
                            <a:extLst>
                              <a:ext uri="{FF2B5EF4-FFF2-40B4-BE49-F238E27FC236}">
                                <a16:creationId xmlns:a16="http://schemas.microsoft.com/office/drawing/2014/main" id="{00000000-0008-0000-0000-000037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85737" y="241656"/>
                            <a:ext cx="1643062" cy="514349"/>
                          </a:xfrm>
                          <a:prstGeom prst="rect">
                            <a:avLst/>
                          </a:prstGeom>
                          <a:solidFill>
                            <a:schemeClr val="lt1"/>
                          </a:solidFill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ctr"/>
                            <a:fld id="{99742487-D1C5-4A1C-A313-52E06025A757}" type="TxLink">
                              <a:rPr lang="en-US" sz="4000" b="1" i="0" u="none" strike="noStrike">
                                <a:solidFill>
                                  <a:srgbClr val="000000"/>
                                </a:solidFill>
                                <a:latin typeface="Aptos Narrow"/>
                              </a:rPr>
                              <a:pPr algn="ctr"/>
                              <a:t>0</a:t>
                            </a:fld>
                            <a:endParaRPr lang="en-US" sz="277800" b="1" i="0" u="none" strike="noStrike">
                              <a:solidFill>
                                <a:srgbClr val="000000"/>
                              </a:solidFill>
                              <a:latin typeface="Aptos Narrow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80" name="Rectangle 1079">
                            <a:extLst>
                              <a:ext uri="{FF2B5EF4-FFF2-40B4-BE49-F238E27FC236}">
                                <a16:creationId xmlns:a16="http://schemas.microsoft.com/office/drawing/2014/main" id="{00000000-0008-0000-0000-00003804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00788" y="952500"/>
                            <a:ext cx="1817662" cy="257173"/>
                          </a:xfrm>
                          <a:prstGeom prst="rect">
                            <a:avLst/>
                          </a:prstGeom>
                          <a:solidFill>
                            <a:srgbClr val="156082"/>
                          </a:solidFill>
                          <a:ln>
                            <a:solidFill>
                              <a:schemeClr val="accent1"/>
                            </a:solidFill>
                          </a:ln>
                          <a:effectLst/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LID4096" sz="1100"/>
                          </a:p>
                        </xdr:txBody>
                      </xdr:sp>
                    </xdr:grpSp>
                    <xdr:sp macro="" textlink="">
                      <xdr:nvSpPr>
                        <xdr:cNvPr id="1077" name="TextBox 1076">
                          <a:extLst>
                            <a:ext uri="{FF2B5EF4-FFF2-40B4-BE49-F238E27FC236}">
                              <a16:creationId xmlns:a16="http://schemas.microsoft.com/office/drawing/2014/main" id="{00000000-0008-0000-0000-000035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8576" y="744325"/>
                          <a:ext cx="1509813" cy="16148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ctr"/>
                          <a:r>
                            <a:rPr lang="en-US" sz="900" b="1" i="0" u="none" strike="noStrike" baseline="0">
                              <a:solidFill>
                                <a:schemeClr val="bg1"/>
                              </a:solidFill>
                              <a:latin typeface="Aptos Narrow"/>
                            </a:rPr>
                            <a:t>TOTAL HIGH PRIORITY TASK</a:t>
                          </a:r>
                          <a:endParaRPr lang="en-US" sz="900" b="1" i="0" u="none" strike="noStrike">
                            <a:solidFill>
                              <a:schemeClr val="bg1"/>
                            </a:solidFill>
                            <a:latin typeface="Aptos Narrow"/>
                          </a:endParaRPr>
                        </a:p>
                      </xdr:txBody>
                    </xdr:sp>
                  </xdr:grpSp>
                  <xdr:grpSp>
                    <xdr:nvGrpSpPr>
                      <xdr:cNvPr id="1058" name="Group 1057">
                        <a:extLst>
                          <a:ext uri="{FF2B5EF4-FFF2-40B4-BE49-F238E27FC236}">
                            <a16:creationId xmlns:a16="http://schemas.microsoft.com/office/drawing/2014/main" id="{00000000-0008-0000-0000-00002204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423986" y="897673"/>
                        <a:ext cx="1513891" cy="862129"/>
                        <a:chOff x="58576" y="47625"/>
                        <a:chExt cx="1509813" cy="862129"/>
                      </a:xfrm>
                    </xdr:grpSpPr>
                    <xdr:grpSp>
                      <xdr:nvGrpSpPr>
                        <xdr:cNvPr id="1071" name="Group 1070">
                          <a:extLst>
                            <a:ext uri="{FF2B5EF4-FFF2-40B4-BE49-F238E27FC236}">
                              <a16:creationId xmlns:a16="http://schemas.microsoft.com/office/drawing/2014/main" id="{00000000-0008-0000-0000-00002F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6675" y="47625"/>
                          <a:ext cx="1496239" cy="862129"/>
                          <a:chOff x="85725" y="61913"/>
                          <a:chExt cx="1833563" cy="1147762"/>
                        </a:xfrm>
                      </xdr:grpSpPr>
                      <xdr:sp macro="" textlink="">
                        <xdr:nvSpPr>
                          <xdr:cNvPr id="1073" name="Rectangle 1072">
                            <a:extLst>
                              <a:ext uri="{FF2B5EF4-FFF2-40B4-BE49-F238E27FC236}">
                                <a16:creationId xmlns:a16="http://schemas.microsoft.com/office/drawing/2014/main" id="{00000000-0008-0000-0000-00003104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85725" y="61913"/>
                            <a:ext cx="1833563" cy="1147762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>
                            <a:solidFill>
                              <a:schemeClr val="accent1"/>
                            </a:solidFill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LID4096" sz="1100"/>
                          </a:p>
                        </xdr:txBody>
                      </xdr:sp>
                      <xdr:sp macro="" textlink="METRICS!J2">
                        <xdr:nvSpPr>
                          <xdr:cNvPr id="1074" name="TextBox 1073">
                            <a:extLst>
                              <a:ext uri="{FF2B5EF4-FFF2-40B4-BE49-F238E27FC236}">
                                <a16:creationId xmlns:a16="http://schemas.microsoft.com/office/drawing/2014/main" id="{00000000-0008-0000-0000-000032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85737" y="241656"/>
                            <a:ext cx="1643062" cy="514349"/>
                          </a:xfrm>
                          <a:prstGeom prst="rect">
                            <a:avLst/>
                          </a:prstGeom>
                          <a:solidFill>
                            <a:schemeClr val="lt1"/>
                          </a:solidFill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ctr"/>
                            <a:fld id="{D167BFFF-F1A2-47D4-AAA3-5BC17B7B91FD}" type="TxLink">
                              <a:rPr lang="en-US" sz="4000" b="1" i="0" u="none" strike="noStrike">
                                <a:solidFill>
                                  <a:srgbClr val="000000"/>
                                </a:solidFill>
                                <a:latin typeface="Aptos Narrow"/>
                              </a:rPr>
                              <a:pPr algn="ctr"/>
                              <a:t>0</a:t>
                            </a:fld>
                            <a:endParaRPr lang="en-US" sz="400000" b="1" i="0" u="none" strike="noStrike">
                              <a:solidFill>
                                <a:srgbClr val="000000"/>
                              </a:solidFill>
                              <a:latin typeface="Aptos Narrow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75" name="Rectangle 1074">
                            <a:extLst>
                              <a:ext uri="{FF2B5EF4-FFF2-40B4-BE49-F238E27FC236}">
                                <a16:creationId xmlns:a16="http://schemas.microsoft.com/office/drawing/2014/main" id="{00000000-0008-0000-0000-00003304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00788" y="952500"/>
                            <a:ext cx="1817662" cy="257173"/>
                          </a:xfrm>
                          <a:prstGeom prst="rect">
                            <a:avLst/>
                          </a:prstGeom>
                          <a:solidFill>
                            <a:srgbClr val="156082"/>
                          </a:solidFill>
                          <a:ln>
                            <a:solidFill>
                              <a:schemeClr val="accent1"/>
                            </a:solidFill>
                          </a:ln>
                          <a:effectLst/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LID4096" sz="1100"/>
                          </a:p>
                        </xdr:txBody>
                      </xdr:sp>
                    </xdr:grpSp>
                    <xdr:sp macro="" textlink="">
                      <xdr:nvSpPr>
                        <xdr:cNvPr id="1072" name="TextBox 1071">
                          <a:extLst>
                            <a:ext uri="{FF2B5EF4-FFF2-40B4-BE49-F238E27FC236}">
                              <a16:creationId xmlns:a16="http://schemas.microsoft.com/office/drawing/2014/main" id="{00000000-0008-0000-0000-00003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8576" y="744325"/>
                          <a:ext cx="1509813" cy="16148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ctr"/>
                          <a:r>
                            <a:rPr lang="en-US" sz="900" b="1" i="0" u="none" strike="noStrike">
                              <a:solidFill>
                                <a:schemeClr val="bg1"/>
                              </a:solidFill>
                              <a:latin typeface="Aptos Narrow"/>
                            </a:rPr>
                            <a:t>HIGH  PER TENANT</a:t>
                          </a:r>
                        </a:p>
                      </xdr:txBody>
                    </xdr:sp>
                  </xdr:grpSp>
                  <xdr:grpSp>
                    <xdr:nvGrpSpPr>
                      <xdr:cNvPr id="1059" name="Group 1058">
                        <a:extLst>
                          <a:ext uri="{FF2B5EF4-FFF2-40B4-BE49-F238E27FC236}">
                            <a16:creationId xmlns:a16="http://schemas.microsoft.com/office/drawing/2014/main" id="{00000000-0008-0000-0000-00002304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948282" y="897673"/>
                        <a:ext cx="1513891" cy="862129"/>
                        <a:chOff x="58576" y="47625"/>
                        <a:chExt cx="1509813" cy="862129"/>
                      </a:xfrm>
                    </xdr:grpSpPr>
                    <xdr:grpSp>
                      <xdr:nvGrpSpPr>
                        <xdr:cNvPr id="1066" name="Group 1065">
                          <a:extLst>
                            <a:ext uri="{FF2B5EF4-FFF2-40B4-BE49-F238E27FC236}">
                              <a16:creationId xmlns:a16="http://schemas.microsoft.com/office/drawing/2014/main" id="{00000000-0008-0000-0000-00002A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6675" y="47625"/>
                          <a:ext cx="1496239" cy="862129"/>
                          <a:chOff x="85725" y="61913"/>
                          <a:chExt cx="1833563" cy="1147762"/>
                        </a:xfrm>
                      </xdr:grpSpPr>
                      <xdr:sp macro="" textlink="">
                        <xdr:nvSpPr>
                          <xdr:cNvPr id="1068" name="Rectangle 1067">
                            <a:extLst>
                              <a:ext uri="{FF2B5EF4-FFF2-40B4-BE49-F238E27FC236}">
                                <a16:creationId xmlns:a16="http://schemas.microsoft.com/office/drawing/2014/main" id="{00000000-0008-0000-0000-00002C04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85725" y="61913"/>
                            <a:ext cx="1833563" cy="1147762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>
                            <a:solidFill>
                              <a:schemeClr val="accent1"/>
                            </a:solidFill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LID4096" sz="1100"/>
                          </a:p>
                        </xdr:txBody>
                      </xdr:sp>
                      <xdr:sp macro="" textlink="METRICS!L2">
                        <xdr:nvSpPr>
                          <xdr:cNvPr id="1069" name="TextBox 1068">
                            <a:extLst>
                              <a:ext uri="{FF2B5EF4-FFF2-40B4-BE49-F238E27FC236}">
                                <a16:creationId xmlns:a16="http://schemas.microsoft.com/office/drawing/2014/main" id="{00000000-0008-0000-0000-00002D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85737" y="241656"/>
                            <a:ext cx="1643062" cy="514349"/>
                          </a:xfrm>
                          <a:prstGeom prst="rect">
                            <a:avLst/>
                          </a:prstGeom>
                          <a:solidFill>
                            <a:schemeClr val="lt1"/>
                          </a:solidFill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ctr"/>
                            <a:fld id="{00D43BF7-6E25-4617-B7F0-07FE121D21B2}" type="TxLink">
                              <a:rPr lang="en-US" sz="4000" b="1" i="0" u="none" strike="noStrike">
                                <a:solidFill>
                                  <a:srgbClr val="000000"/>
                                </a:solidFill>
                                <a:latin typeface="Aptos Narrow"/>
                              </a:rPr>
                              <a:pPr algn="ctr"/>
                              <a:t>0%</a:t>
                            </a:fld>
                            <a:endParaRPr lang="en-US" sz="11500" b="1" i="0" u="none" strike="noStrike">
                              <a:solidFill>
                                <a:srgbClr val="000000"/>
                              </a:solidFill>
                              <a:latin typeface="Aptos Narrow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70" name="Rectangle 1069">
                            <a:extLst>
                              <a:ext uri="{FF2B5EF4-FFF2-40B4-BE49-F238E27FC236}">
                                <a16:creationId xmlns:a16="http://schemas.microsoft.com/office/drawing/2014/main" id="{00000000-0008-0000-0000-00002E04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00788" y="952500"/>
                            <a:ext cx="1817662" cy="257173"/>
                          </a:xfrm>
                          <a:prstGeom prst="rect">
                            <a:avLst/>
                          </a:prstGeom>
                          <a:solidFill>
                            <a:srgbClr val="156082"/>
                          </a:solidFill>
                          <a:ln>
                            <a:solidFill>
                              <a:schemeClr val="accent1"/>
                            </a:solidFill>
                          </a:ln>
                          <a:effectLst/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LID4096" sz="1100"/>
                          </a:p>
                        </xdr:txBody>
                      </xdr:sp>
                    </xdr:grpSp>
                    <xdr:sp macro="" textlink="">
                      <xdr:nvSpPr>
                        <xdr:cNvPr id="1067" name="TextBox 1066">
                          <a:extLst>
                            <a:ext uri="{FF2B5EF4-FFF2-40B4-BE49-F238E27FC236}">
                              <a16:creationId xmlns:a16="http://schemas.microsoft.com/office/drawing/2014/main" id="{00000000-0008-0000-0000-00002B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8576" y="744325"/>
                          <a:ext cx="1509813" cy="16148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ctr"/>
                          <a:r>
                            <a:rPr lang="en-US" sz="900" b="1" i="0" u="none" strike="noStrike" baseline="0">
                              <a:solidFill>
                                <a:schemeClr val="bg1"/>
                              </a:solidFill>
                              <a:latin typeface="Aptos Narrow"/>
                            </a:rPr>
                            <a:t> % OF TOTAL COMPLETE</a:t>
                          </a:r>
                          <a:endParaRPr lang="en-US" sz="900" b="1" i="0" u="none" strike="noStrike">
                            <a:solidFill>
                              <a:schemeClr val="bg1"/>
                            </a:solidFill>
                            <a:latin typeface="Aptos Narrow"/>
                          </a:endParaRPr>
                        </a:p>
                      </xdr:txBody>
                    </xdr:sp>
                  </xdr:grpSp>
                  <xdr:grpSp>
                    <xdr:nvGrpSpPr>
                      <xdr:cNvPr id="1060" name="Group 1059">
                        <a:extLst>
                          <a:ext uri="{FF2B5EF4-FFF2-40B4-BE49-F238E27FC236}">
                            <a16:creationId xmlns:a16="http://schemas.microsoft.com/office/drawing/2014/main" id="{00000000-0008-0000-0000-00002404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472578" y="897673"/>
                        <a:ext cx="1513891" cy="862129"/>
                        <a:chOff x="58576" y="47625"/>
                        <a:chExt cx="1509813" cy="862129"/>
                      </a:xfrm>
                    </xdr:grpSpPr>
                    <xdr:grpSp>
                      <xdr:nvGrpSpPr>
                        <xdr:cNvPr id="1061" name="Group 1060">
                          <a:extLst>
                            <a:ext uri="{FF2B5EF4-FFF2-40B4-BE49-F238E27FC236}">
                              <a16:creationId xmlns:a16="http://schemas.microsoft.com/office/drawing/2014/main" id="{00000000-0008-0000-0000-000025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6675" y="47625"/>
                          <a:ext cx="1496239" cy="862129"/>
                          <a:chOff x="85725" y="61913"/>
                          <a:chExt cx="1833563" cy="1147762"/>
                        </a:xfrm>
                      </xdr:grpSpPr>
                      <xdr:sp macro="" textlink="">
                        <xdr:nvSpPr>
                          <xdr:cNvPr id="1063" name="Rectangle 1062">
                            <a:extLst>
                              <a:ext uri="{FF2B5EF4-FFF2-40B4-BE49-F238E27FC236}">
                                <a16:creationId xmlns:a16="http://schemas.microsoft.com/office/drawing/2014/main" id="{00000000-0008-0000-0000-00002704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85725" y="61913"/>
                            <a:ext cx="1833563" cy="1147762"/>
                          </a:xfrm>
                          <a:prstGeom prst="rect">
                            <a:avLst/>
                          </a:prstGeom>
                          <a:solidFill>
                            <a:schemeClr val="bg1"/>
                          </a:solidFill>
                          <a:ln>
                            <a:solidFill>
                              <a:schemeClr val="accent1"/>
                            </a:solidFill>
                          </a:ln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LID4096" sz="1100"/>
                          </a:p>
                        </xdr:txBody>
                      </xdr:sp>
                      <xdr:sp macro="" textlink="METRICS!M2">
                        <xdr:nvSpPr>
                          <xdr:cNvPr id="1064" name="TextBox 1063">
                            <a:extLst>
                              <a:ext uri="{FF2B5EF4-FFF2-40B4-BE49-F238E27FC236}">
                                <a16:creationId xmlns:a16="http://schemas.microsoft.com/office/drawing/2014/main" id="{00000000-0008-0000-0000-000028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85737" y="241656"/>
                            <a:ext cx="1643062" cy="514349"/>
                          </a:xfrm>
                          <a:prstGeom prst="rect">
                            <a:avLst/>
                          </a:prstGeom>
                          <a:solidFill>
                            <a:schemeClr val="lt1"/>
                          </a:solidFill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ctr"/>
                            <a:fld id="{22168278-2602-4639-862C-DA5084F9E730}" type="TxLink">
                              <a:rPr lang="en-US" sz="4000" b="1" i="0" u="none" strike="noStrike">
                                <a:solidFill>
                                  <a:srgbClr val="000000"/>
                                </a:solidFill>
                                <a:latin typeface="Aptos Narrow"/>
                              </a:rPr>
                              <a:pPr algn="ctr"/>
                              <a:t>0%</a:t>
                            </a:fld>
                            <a:endParaRPr lang="en-US" sz="16600" b="1" i="0" u="none" strike="noStrike">
                              <a:solidFill>
                                <a:srgbClr val="000000"/>
                              </a:solidFill>
                              <a:latin typeface="Aptos Narrow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65" name="Rectangle 1064">
                            <a:extLst>
                              <a:ext uri="{FF2B5EF4-FFF2-40B4-BE49-F238E27FC236}">
                                <a16:creationId xmlns:a16="http://schemas.microsoft.com/office/drawing/2014/main" id="{00000000-0008-0000-0000-00002904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100788" y="952500"/>
                            <a:ext cx="1817662" cy="257173"/>
                          </a:xfrm>
                          <a:prstGeom prst="rect">
                            <a:avLst/>
                          </a:prstGeom>
                          <a:solidFill>
                            <a:srgbClr val="156082"/>
                          </a:solidFill>
                          <a:ln>
                            <a:solidFill>
                              <a:schemeClr val="accent1"/>
                            </a:solidFill>
                          </a:ln>
                          <a:effectLst/>
                        </xdr:spPr>
                        <xdr:style>
                          <a:lnRef idx="2">
                            <a:schemeClr val="accent1">
                              <a:shade val="15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LID4096" sz="1100"/>
                          </a:p>
                        </xdr:txBody>
                      </xdr:sp>
                    </xdr:grpSp>
                    <xdr:sp macro="" textlink="">
                      <xdr:nvSpPr>
                        <xdr:cNvPr id="1062" name="TextBox 1061">
                          <a:extLst>
                            <a:ext uri="{FF2B5EF4-FFF2-40B4-BE49-F238E27FC236}">
                              <a16:creationId xmlns:a16="http://schemas.microsoft.com/office/drawing/2014/main" id="{00000000-0008-0000-0000-000026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8576" y="744325"/>
                          <a:ext cx="1509813" cy="16148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ctr"/>
                          <a:r>
                            <a:rPr lang="en-US" sz="900" b="1" i="0" baseline="0">
                              <a:solidFill>
                                <a:schemeClr val="bg1"/>
                              </a:solidFill>
                              <a:effectLst/>
                              <a:latin typeface="+mn-lt"/>
                              <a:ea typeface="+mn-ea"/>
                              <a:cs typeface="+mn-cs"/>
                            </a:rPr>
                            <a:t> % OF TOTAL ACTIVE</a:t>
                          </a:r>
                          <a:endParaRPr lang="en-CH" sz="900">
                            <a:solidFill>
                              <a:schemeClr val="bg1"/>
                            </a:solidFill>
                            <a:effectLst/>
                          </a:endParaRPr>
                        </a:p>
                      </xdr:txBody>
                    </xdr:sp>
                  </xdr:grpSp>
                </xdr:grpSp>
              </xdr:grpSp>
              <xdr:cxnSp macro="">
                <xdr:nvCxnSpPr>
                  <xdr:cNvPr id="1081" name="Straight Connector 1080">
                    <a:extLst>
                      <a:ext uri="{FF2B5EF4-FFF2-40B4-BE49-F238E27FC236}">
                        <a16:creationId xmlns:a16="http://schemas.microsoft.com/office/drawing/2014/main" id="{00000000-0008-0000-0000-000039040000}"/>
                      </a:ext>
                    </a:extLst>
                  </xdr:cNvPr>
                  <xdr:cNvCxnSpPr/>
                </xdr:nvCxnSpPr>
                <xdr:spPr>
                  <a:xfrm>
                    <a:off x="1888971" y="636665"/>
                    <a:ext cx="0" cy="1380080"/>
                  </a:xfrm>
                  <a:prstGeom prst="line">
                    <a:avLst/>
                  </a:prstGeom>
                  <a:ln w="28575"/>
                </xdr:spPr>
                <xdr:style>
                  <a:lnRef idx="2">
                    <a:schemeClr val="accent1"/>
                  </a:lnRef>
                  <a:fillRef idx="0">
                    <a:schemeClr val="accent1"/>
                  </a:fillRef>
                  <a:effectRef idx="1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1086" name="Straight Connector 1085">
                    <a:extLst>
                      <a:ext uri="{FF2B5EF4-FFF2-40B4-BE49-F238E27FC236}">
                        <a16:creationId xmlns:a16="http://schemas.microsoft.com/office/drawing/2014/main" id="{00000000-0008-0000-0000-00003E040000}"/>
                      </a:ext>
                    </a:extLst>
                  </xdr:cNvPr>
                  <xdr:cNvCxnSpPr/>
                </xdr:nvCxnSpPr>
                <xdr:spPr>
                  <a:xfrm flipH="1">
                    <a:off x="1875960" y="2023484"/>
                    <a:ext cx="12318614" cy="0"/>
                  </a:xfrm>
                  <a:prstGeom prst="line">
                    <a:avLst/>
                  </a:prstGeom>
                  <a:ln w="28575"/>
                </xdr:spPr>
                <xdr:style>
                  <a:lnRef idx="2">
                    <a:schemeClr val="accent1"/>
                  </a:lnRef>
                  <a:fillRef idx="0">
                    <a:schemeClr val="accent1"/>
                  </a:fillRef>
                  <a:effectRef idx="1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grpSp>
              <xdr:nvGrpSpPr>
                <xdr:cNvPr id="62" name="Group 61">
                  <a:extLst>
                    <a:ext uri="{FF2B5EF4-FFF2-40B4-BE49-F238E27FC236}">
                      <a16:creationId xmlns:a16="http://schemas.microsoft.com/office/drawing/2014/main" id="{00000000-0008-0000-0000-00003E000000}"/>
                    </a:ext>
                  </a:extLst>
                </xdr:cNvPr>
                <xdr:cNvGrpSpPr/>
              </xdr:nvGrpSpPr>
              <xdr:grpSpPr>
                <a:xfrm>
                  <a:off x="1906393" y="1401691"/>
                  <a:ext cx="6120162" cy="392151"/>
                  <a:chOff x="1906393" y="1401691"/>
                  <a:chExt cx="6120162" cy="392151"/>
                </a:xfrm>
              </xdr:grpSpPr>
              <xdr:cxnSp macro="">
                <xdr:nvCxnSpPr>
                  <xdr:cNvPr id="10" name="Straight Connector 9">
                    <a:extLst>
                      <a:ext uri="{FF2B5EF4-FFF2-40B4-BE49-F238E27FC236}">
                        <a16:creationId xmlns:a16="http://schemas.microsoft.com/office/drawing/2014/main" id="{00000000-0008-0000-0000-00000A000000}"/>
                      </a:ext>
                    </a:extLst>
                  </xdr:cNvPr>
                  <xdr:cNvCxnSpPr/>
                </xdr:nvCxnSpPr>
                <xdr:spPr>
                  <a:xfrm flipH="1">
                    <a:off x="1906393" y="1791630"/>
                    <a:ext cx="6120162" cy="0"/>
                  </a:xfrm>
                  <a:prstGeom prst="line">
                    <a:avLst/>
                  </a:prstGeom>
                  <a:ln w="28575">
                    <a:solidFill>
                      <a:srgbClr val="FFC000"/>
                    </a:solidFill>
                  </a:ln>
                </xdr:spPr>
                <xdr:style>
                  <a:lnRef idx="2">
                    <a:schemeClr val="accent1"/>
                  </a:lnRef>
                  <a:fillRef idx="0">
                    <a:schemeClr val="accent1"/>
                  </a:fillRef>
                  <a:effectRef idx="1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15" name="Straight Connector 14">
                    <a:extLst>
                      <a:ext uri="{FF2B5EF4-FFF2-40B4-BE49-F238E27FC236}">
                        <a16:creationId xmlns:a16="http://schemas.microsoft.com/office/drawing/2014/main" id="{00000000-0008-0000-0000-00000F000000}"/>
                      </a:ext>
                    </a:extLst>
                  </xdr:cNvPr>
                  <xdr:cNvCxnSpPr/>
                </xdr:nvCxnSpPr>
                <xdr:spPr>
                  <a:xfrm>
                    <a:off x="8010523" y="1401691"/>
                    <a:ext cx="0" cy="392151"/>
                  </a:xfrm>
                  <a:prstGeom prst="line">
                    <a:avLst/>
                  </a:prstGeom>
                  <a:ln w="28575">
                    <a:solidFill>
                      <a:srgbClr val="FFC000"/>
                    </a:solidFill>
                  </a:ln>
                </xdr:spPr>
                <xdr:style>
                  <a:lnRef idx="2">
                    <a:schemeClr val="accent1"/>
                  </a:lnRef>
                  <a:fillRef idx="0">
                    <a:schemeClr val="accent1"/>
                  </a:fillRef>
                  <a:effectRef idx="1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grpSp>
              <xdr:nvGrpSpPr>
                <xdr:cNvPr id="63" name="Group 62">
                  <a:extLst>
                    <a:ext uri="{FF2B5EF4-FFF2-40B4-BE49-F238E27FC236}">
                      <a16:creationId xmlns:a16="http://schemas.microsoft.com/office/drawing/2014/main" id="{00000000-0008-0000-0000-00003F000000}"/>
                    </a:ext>
                  </a:extLst>
                </xdr:cNvPr>
                <xdr:cNvGrpSpPr/>
              </xdr:nvGrpSpPr>
              <xdr:grpSpPr>
                <a:xfrm flipH="1">
                  <a:off x="8055876" y="1398822"/>
                  <a:ext cx="6124575" cy="392151"/>
                  <a:chOff x="1904486" y="1403236"/>
                  <a:chExt cx="6124575" cy="392151"/>
                </a:xfrm>
              </xdr:grpSpPr>
              <xdr:cxnSp macro="">
                <xdr:nvCxnSpPr>
                  <xdr:cNvPr id="1024" name="Straight Connector 1023">
                    <a:extLst>
                      <a:ext uri="{FF2B5EF4-FFF2-40B4-BE49-F238E27FC236}">
                        <a16:creationId xmlns:a16="http://schemas.microsoft.com/office/drawing/2014/main" id="{00000000-0008-0000-0000-000000040000}"/>
                      </a:ext>
                    </a:extLst>
                  </xdr:cNvPr>
                  <xdr:cNvCxnSpPr/>
                </xdr:nvCxnSpPr>
                <xdr:spPr>
                  <a:xfrm flipH="1">
                    <a:off x="1904486" y="1794905"/>
                    <a:ext cx="6124575" cy="0"/>
                  </a:xfrm>
                  <a:prstGeom prst="line">
                    <a:avLst/>
                  </a:prstGeom>
                  <a:ln w="28575">
                    <a:solidFill>
                      <a:srgbClr val="FFC000"/>
                    </a:solidFill>
                  </a:ln>
                </xdr:spPr>
                <xdr:style>
                  <a:lnRef idx="2">
                    <a:schemeClr val="accent1"/>
                  </a:lnRef>
                  <a:fillRef idx="0">
                    <a:schemeClr val="accent1"/>
                  </a:fillRef>
                  <a:effectRef idx="1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1027" name="Straight Connector 1026">
                    <a:extLst>
                      <a:ext uri="{FF2B5EF4-FFF2-40B4-BE49-F238E27FC236}">
                        <a16:creationId xmlns:a16="http://schemas.microsoft.com/office/drawing/2014/main" id="{00000000-0008-0000-0000-000003040000}"/>
                      </a:ext>
                    </a:extLst>
                  </xdr:cNvPr>
                  <xdr:cNvCxnSpPr/>
                </xdr:nvCxnSpPr>
                <xdr:spPr>
                  <a:xfrm>
                    <a:off x="8010523" y="1403236"/>
                    <a:ext cx="0" cy="392151"/>
                  </a:xfrm>
                  <a:prstGeom prst="line">
                    <a:avLst/>
                  </a:prstGeom>
                  <a:ln w="28575">
                    <a:solidFill>
                      <a:srgbClr val="FFC000"/>
                    </a:solidFill>
                  </a:ln>
                </xdr:spPr>
                <xdr:style>
                  <a:lnRef idx="2">
                    <a:schemeClr val="accent1"/>
                  </a:lnRef>
                  <a:fillRef idx="0">
                    <a:schemeClr val="accent1"/>
                  </a:fillRef>
                  <a:effectRef idx="1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sp macro="" textlink="">
            <xdr:nvSpPr>
              <xdr:cNvPr id="19" name="Rectangle 18">
                <a:extLst>
                  <a:ext uri="{FF2B5EF4-FFF2-40B4-BE49-F238E27FC236}">
                    <a16:creationId xmlns:a16="http://schemas.microsoft.com/office/drawing/2014/main" id="{00000000-0008-0000-0000-000013000000}"/>
                  </a:ext>
                </a:extLst>
              </xdr:cNvPr>
              <xdr:cNvSpPr/>
            </xdr:nvSpPr>
            <xdr:spPr>
              <a:xfrm>
                <a:off x="8060120" y="653613"/>
                <a:ext cx="6010607" cy="246336"/>
              </a:xfrm>
              <a:prstGeom prst="rect">
                <a:avLst/>
              </a:prstGeom>
              <a:solidFill>
                <a:srgbClr val="262626"/>
              </a:solidFill>
              <a:ln>
                <a:solidFill>
                  <a:srgbClr val="26262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LID4096" sz="1100"/>
              </a:p>
            </xdr:txBody>
          </xdr:sp>
        </xdr:grpSp>
        <xdr:sp macro="" textlink="">
          <xdr:nvSpPr>
            <xdr:cNvPr id="26" name="Rectangle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/>
          </xdr:nvSpPr>
          <xdr:spPr>
            <a:xfrm>
              <a:off x="1916964" y="653115"/>
              <a:ext cx="6010607" cy="246336"/>
            </a:xfrm>
            <a:prstGeom prst="rect">
              <a:avLst/>
            </a:prstGeom>
            <a:solidFill>
              <a:srgbClr val="262626"/>
            </a:solidFill>
            <a:ln>
              <a:solidFill>
                <a:srgbClr val="26262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LID4096" sz="1100"/>
            </a:p>
          </xdr:txBody>
        </xdr:sp>
      </xdr:grp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1848473" y="548744"/>
            <a:ext cx="5885966" cy="458571"/>
          </a:xfrm>
          <a:prstGeom prst="rect">
            <a:avLst/>
          </a:prstGeom>
          <a:noFill/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GB" sz="1600" b="1">
                <a:solidFill>
                  <a:schemeClr val="bg1"/>
                </a:solidFill>
              </a:rPr>
              <a:t>TOTAL INCIDENT RESPONSE PLAN TASKS </a:t>
            </a:r>
            <a:endParaRPr lang="LID4096" sz="1600" b="1">
              <a:solidFill>
                <a:schemeClr val="bg1"/>
              </a:solidFill>
            </a:endParaRPr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8024391" y="548787"/>
            <a:ext cx="5856375" cy="458485"/>
          </a:xfrm>
          <a:prstGeom prst="rect">
            <a:avLst/>
          </a:prstGeom>
          <a:noFill/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GB" sz="1600" b="1">
                <a:solidFill>
                  <a:schemeClr val="bg1"/>
                </a:solidFill>
              </a:rPr>
              <a:t>TOTAL TASKS HIGH PRIORITY</a:t>
            </a:r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0.20035</cdr:x>
      <cdr:y>0.93504</cdr:y>
    </cdr:from>
    <cdr:to>
      <cdr:x>0.76967</cdr:x>
      <cdr:y>0.98462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EEAD56C4-DB89-BD09-1F39-99132B202AC0}"/>
            </a:ext>
          </a:extLst>
        </cdr:cNvPr>
        <cdr:cNvSpPr/>
      </cdr:nvSpPr>
      <cdr:spPr>
        <a:xfrm xmlns:a="http://schemas.openxmlformats.org/drawingml/2006/main">
          <a:off x="1833862" y="3176937"/>
          <a:ext cx="5211153" cy="16844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6350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LID4096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B0628-4C4E-4726-A328-7FEC95AE0CDA}">
  <sheetPr codeName="Sheet1">
    <tabColor theme="3" tint="0.89999084444715716"/>
  </sheetPr>
  <dimension ref="A16"/>
  <sheetViews>
    <sheetView showGridLines="0" tabSelected="1" zoomScale="83" zoomScaleNormal="83" workbookViewId="0">
      <selection activeCell="K34" sqref="K34"/>
    </sheetView>
  </sheetViews>
  <sheetFormatPr defaultRowHeight="14.25" x14ac:dyDescent="0.45"/>
  <cols>
    <col min="1" max="16384" width="9.06640625" style="5"/>
  </cols>
  <sheetData>
    <row r="16" s="5" customFormat="1" x14ac:dyDescent="0.45"/>
  </sheetData>
  <sheetProtection algorithmName="SHA-512" hashValue="B0Fn/u/3iuYuHdMgWABPhheD7utInndYcWdAr98CkwfbemecpOqoUA6EJF4z5kbOBKvqSFrT5slFcqycvC34ew==" saltValue="bedt/0zMZAYlFAgKBs5Jcg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Tenant.AddTenant">
                <anchor moveWithCells="1" sizeWithCells="1">
                  <from>
                    <xdr:col>0</xdr:col>
                    <xdr:colOff>80963</xdr:colOff>
                    <xdr:row>12</xdr:row>
                    <xdr:rowOff>85725</xdr:rowOff>
                  </from>
                  <to>
                    <xdr:col>1</xdr:col>
                    <xdr:colOff>309563</xdr:colOff>
                    <xdr:row>13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Status.ClearStatus">
                <anchor moveWithCells="1" sizeWithCells="1">
                  <from>
                    <xdr:col>1</xdr:col>
                    <xdr:colOff>342900</xdr:colOff>
                    <xdr:row>12</xdr:row>
                    <xdr:rowOff>85725</xdr:rowOff>
                  </from>
                  <to>
                    <xdr:col>2</xdr:col>
                    <xdr:colOff>571500</xdr:colOff>
                    <xdr:row>13</xdr:row>
                    <xdr:rowOff>138113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6C02A-30F3-47ED-8A25-FE7A3BDD2647}">
  <sheetPr codeName="Sheet2">
    <tabColor theme="3" tint="0.499984740745262"/>
  </sheetPr>
  <dimension ref="B1:Y61"/>
  <sheetViews>
    <sheetView topLeftCell="L1" workbookViewId="0">
      <selection activeCell="R9" sqref="R9"/>
    </sheetView>
  </sheetViews>
  <sheetFormatPr defaultColWidth="20.59765625" defaultRowHeight="13.15" x14ac:dyDescent="0.45"/>
  <cols>
    <col min="1" max="1" width="5.46484375" style="10" customWidth="1"/>
    <col min="2" max="2" width="9.6640625" style="8" bestFit="1" customWidth="1"/>
    <col min="3" max="3" width="9.33203125" style="8" bestFit="1" customWidth="1"/>
    <col min="4" max="5" width="11.46484375" style="8" bestFit="1" customWidth="1"/>
    <col min="6" max="6" width="20.59765625" style="9"/>
    <col min="7" max="7" width="15.796875" style="9" bestFit="1" customWidth="1"/>
    <col min="8" max="8" width="10.796875" style="8" customWidth="1"/>
    <col min="9" max="9" width="0.3984375" style="12" customWidth="1"/>
    <col min="10" max="10" width="15.06640625" style="8" bestFit="1" customWidth="1"/>
    <col min="11" max="12" width="10.796875" style="8" customWidth="1"/>
    <col min="13" max="13" width="15.265625" style="8" bestFit="1" customWidth="1"/>
    <col min="14" max="14" width="0.3984375" style="12" customWidth="1"/>
    <col min="15" max="18" width="20.59765625" style="8"/>
    <col min="19" max="19" width="0.3984375" style="12" customWidth="1"/>
    <col min="20" max="20" width="20.59765625" style="15"/>
    <col min="21" max="25" width="20.59765625" style="8"/>
    <col min="26" max="16384" width="20.59765625" style="10"/>
  </cols>
  <sheetData>
    <row r="1" spans="3:25" ht="14.25" x14ac:dyDescent="0.45">
      <c r="C1" s="8" t="s">
        <v>4</v>
      </c>
      <c r="D1" s="8" t="s">
        <v>5</v>
      </c>
      <c r="E1" s="8" t="s">
        <v>6</v>
      </c>
      <c r="F1" s="9" t="s">
        <v>7</v>
      </c>
      <c r="G1" s="9" t="s">
        <v>8</v>
      </c>
      <c r="H1" s="8" t="s">
        <v>9</v>
      </c>
      <c r="J1" s="8" t="s">
        <v>61</v>
      </c>
      <c r="K1" s="8" t="s">
        <v>60</v>
      </c>
      <c r="L1" s="8" t="s">
        <v>8</v>
      </c>
      <c r="M1" s="8" t="s">
        <v>62</v>
      </c>
      <c r="O1" s="8" t="s">
        <v>10</v>
      </c>
      <c r="P1" s="8" t="s">
        <v>11</v>
      </c>
      <c r="Q1" s="8" t="s">
        <v>12</v>
      </c>
      <c r="R1" s="8" t="s">
        <v>13</v>
      </c>
      <c r="T1" s="13" t="s">
        <v>15</v>
      </c>
      <c r="U1" s="2" t="s">
        <v>63</v>
      </c>
      <c r="V1" s="2"/>
      <c r="W1" s="2"/>
      <c r="X1" s="2"/>
      <c r="Y1" s="2"/>
    </row>
    <row r="2" spans="3:25" ht="14.25" x14ac:dyDescent="0.45">
      <c r="J2" s="8">
        <f>IF(ISBLANK(B2), 0, COUNTIFS(TASKS!$C$2:$C$62, "HIGH"))</f>
        <v>0</v>
      </c>
      <c r="K2" s="8">
        <f>J2 * COUNTA(B:B)</f>
        <v>0</v>
      </c>
      <c r="L2" s="9" cm="1">
        <f t="array" ref="L2">IF($K$2=0,0,SUMPRODUCT((TASKS!$C$2:$C$62="HIGH")*(TASKS!$E$2:$I$62="COMPLETE"))/$K$2)</f>
        <v>0</v>
      </c>
      <c r="M2" s="9" cm="1">
        <f t="array" ref="M2">IF($K$2=0,0,SUMPRODUCT((TASKS!$C$2:$C$62="HIGH")*(TASKS!$E$2:$I$62="ACTIVE"))/$K$2)</f>
        <v>0</v>
      </c>
      <c r="O2" s="8">
        <f>SUM(H2:H33)</f>
        <v>0</v>
      </c>
      <c r="P2" s="8">
        <f>SUM(C2:C33)</f>
        <v>0</v>
      </c>
      <c r="Q2" s="8">
        <f>SUM(D2:D33)</f>
        <v>0</v>
      </c>
      <c r="R2" s="8">
        <f>SUM(E2:E33)</f>
        <v>0</v>
      </c>
      <c r="T2" s="13" t="s">
        <v>31</v>
      </c>
      <c r="U2" s="9" cm="1">
        <f t="array" ref="U2">IF(COUNTIF(TASKS!$D$2:$D$62, "1. Tetsu No Kusari") * COUNTA(TASKS!$E$1:$J$1) = 0, 0, SUMPRODUCT((TASKS!$D$2:$D$62="1. Tetsu No Kusari")*(TASKS!$E$2:$J$62="COMPLETE")) / (COUNTIF(TASKS!$D$2:$D$62, "1. Tetsu No Kusari") * COUNTA(TASKS!$E$1:$J$1)))</f>
        <v>0</v>
      </c>
      <c r="V2" s="9"/>
      <c r="W2" s="9"/>
      <c r="X2" s="9"/>
      <c r="Y2" s="9"/>
    </row>
    <row r="3" spans="3:25" ht="14.25" x14ac:dyDescent="0.45">
      <c r="T3" s="13" t="s">
        <v>32</v>
      </c>
      <c r="U3" s="9" cm="1">
        <f t="array" ref="U3">IF(COUNTIF(TASKS!$D$2:$D$62, "2. Gekimetsu") * COUNTA(TASKS!$E$1:$J$1) = 0, 0, SUMPRODUCT((TASKS!$D$2:$D$62="2. Gekimetsu")*(TASKS!$E$2:$J$62="COMPLETE")) / (COUNTIF(TASKS!$D$2:$D$62, "2. Gekimetsu") * COUNTA(TASKS!$E$1:$J$1)))</f>
        <v>0</v>
      </c>
    </row>
    <row r="4" spans="3:25" ht="14.25" x14ac:dyDescent="0.45">
      <c r="T4" s="13" t="s">
        <v>33</v>
      </c>
      <c r="U4" s="9" cm="1">
        <f t="array" ref="U4">IF(COUNTIF(TASKS!$D$2:$D$62, "3. Futoteki Foride") * COUNTA(TASKS!$E$1:$J$1) = 0, 0, SUMPRODUCT((TASKS!$D$2:$D$62="3. Futoteki Foride")*(TASKS!$E$2:$J$62="COMPLETE")) / (COUNTIF(TASKS!$D$2:$D$62, "3. Futoteki Foride") * COUNTA(TASKS!$E$1:$J$1)))</f>
        <v>0</v>
      </c>
    </row>
    <row r="5" spans="3:25" ht="14.25" x14ac:dyDescent="0.45">
      <c r="T5" s="13" t="s">
        <v>34</v>
      </c>
      <c r="U5" s="9" cm="1">
        <f t="array" ref="U5">IF(COUNTIF(TASKS!$D$2:$D$62, "4. ChŌhei") * COUNTA(TASKS!$E$1:$J$1) = 0, 0, SUMPRODUCT((TASKS!$D$2:$D$62="4. ChŌhei")*(TASKS!$E$2:$J$62="COMPLETE")) / (COUNTIF(TASKS!$D$2:$D$62, "4. ChŌhei") * COUNTA(TASKS!$E$1:$J$1)))</f>
        <v>0</v>
      </c>
    </row>
    <row r="6" spans="3:25" ht="14.25" x14ac:dyDescent="0.45">
      <c r="T6" s="13" t="s">
        <v>44</v>
      </c>
      <c r="U6" s="9" cm="1">
        <f t="array" ref="U6">IF(COUNTIF(TASKS!$D$2:$D$62, "5. Hayabusa No Me") * COUNTA(TASKS!$E$1:$J$1) = 0, 0, SUMPRODUCT((TASKS!$D$2:$D$62="5. Hayabusa No Me")*(TASKS!$E$2:$J$62="COMPLETE")) / (COUNTIF(TASKS!$D$2:$D$62, "5. Hayabusa No Me") * COUNTA(TASKS!$E$1:$J$1)))</f>
        <v>0</v>
      </c>
    </row>
    <row r="7" spans="3:25" ht="14.25" x14ac:dyDescent="0.45">
      <c r="T7" s="13" t="s">
        <v>47</v>
      </c>
      <c r="U7" s="9" cm="1">
        <f t="array" ref="U7">IF(COUNTIF(TASKS!$D$2:$D$62, "6. Noburu Tora") * COUNTA(TASKS!$E$1:$J$1) = 0, 0, SUMPRODUCT((TASKS!$D$2:$D$62="6. Noburu Tora")*(TASKS!$E$2:$J$62="COMPLETE")) / (COUNTIF(TASKS!$D$2:$D$62, "6. Noburu Tora") * COUNTA(TASKS!$E$1:$J$1)))</f>
        <v>0</v>
      </c>
    </row>
    <row r="8" spans="3:25" ht="14.25" x14ac:dyDescent="0.45">
      <c r="T8" s="14"/>
    </row>
    <row r="9" spans="3:25" ht="14.25" x14ac:dyDescent="0.45">
      <c r="T9" s="14"/>
    </row>
    <row r="10" spans="3:25" ht="14.25" x14ac:dyDescent="0.45">
      <c r="T10" s="14"/>
    </row>
    <row r="11" spans="3:25" ht="14.25" x14ac:dyDescent="0.45">
      <c r="T11" s="14"/>
    </row>
    <row r="12" spans="3:25" ht="14.25" x14ac:dyDescent="0.45">
      <c r="T12" s="14"/>
    </row>
    <row r="13" spans="3:25" ht="14.25" x14ac:dyDescent="0.45">
      <c r="T13" s="14"/>
    </row>
    <row r="14" spans="3:25" ht="14.25" x14ac:dyDescent="0.45">
      <c r="T14" s="14"/>
    </row>
    <row r="15" spans="3:25" ht="14.25" x14ac:dyDescent="0.45">
      <c r="T15" s="14"/>
    </row>
    <row r="16" spans="3:25" ht="14.25" x14ac:dyDescent="0.45">
      <c r="T16" s="14"/>
    </row>
    <row r="17" spans="20:20" ht="14.25" x14ac:dyDescent="0.45">
      <c r="T17" s="14"/>
    </row>
    <row r="18" spans="20:20" ht="14.25" x14ac:dyDescent="0.45">
      <c r="T18" s="14"/>
    </row>
    <row r="19" spans="20:20" ht="14.25" x14ac:dyDescent="0.45">
      <c r="T19" s="14"/>
    </row>
    <row r="20" spans="20:20" ht="14.25" x14ac:dyDescent="0.45">
      <c r="T20" s="14"/>
    </row>
    <row r="21" spans="20:20" ht="14.25" x14ac:dyDescent="0.45">
      <c r="T21" s="14"/>
    </row>
    <row r="22" spans="20:20" ht="14.25" x14ac:dyDescent="0.45">
      <c r="T22" s="14"/>
    </row>
    <row r="23" spans="20:20" ht="14.25" x14ac:dyDescent="0.45">
      <c r="T23" s="14"/>
    </row>
    <row r="24" spans="20:20" ht="14.25" x14ac:dyDescent="0.45">
      <c r="T24" s="14"/>
    </row>
    <row r="25" spans="20:20" ht="14.25" x14ac:dyDescent="0.45">
      <c r="T25" s="14"/>
    </row>
    <row r="26" spans="20:20" ht="14.25" x14ac:dyDescent="0.45">
      <c r="T26" s="14"/>
    </row>
    <row r="27" spans="20:20" ht="14.25" x14ac:dyDescent="0.45">
      <c r="T27" s="14"/>
    </row>
    <row r="28" spans="20:20" ht="14.25" x14ac:dyDescent="0.45">
      <c r="T28" s="14"/>
    </row>
    <row r="29" spans="20:20" ht="14.25" x14ac:dyDescent="0.45">
      <c r="T29" s="14"/>
    </row>
    <row r="30" spans="20:20" ht="14.25" x14ac:dyDescent="0.45">
      <c r="T30" s="14"/>
    </row>
    <row r="31" spans="20:20" ht="14.25" x14ac:dyDescent="0.45">
      <c r="T31" s="14"/>
    </row>
    <row r="32" spans="20:20" ht="14.25" x14ac:dyDescent="0.45">
      <c r="T32" s="14"/>
    </row>
    <row r="33" spans="20:20" ht="14.25" x14ac:dyDescent="0.45">
      <c r="T33" s="14"/>
    </row>
    <row r="34" spans="20:20" ht="14.25" x14ac:dyDescent="0.45">
      <c r="T34" s="14"/>
    </row>
    <row r="35" spans="20:20" ht="14.25" x14ac:dyDescent="0.45">
      <c r="T35" s="14"/>
    </row>
    <row r="36" spans="20:20" ht="14.25" x14ac:dyDescent="0.45">
      <c r="T36" s="14"/>
    </row>
    <row r="37" spans="20:20" ht="14.25" x14ac:dyDescent="0.45">
      <c r="T37" s="14"/>
    </row>
    <row r="38" spans="20:20" ht="14.25" x14ac:dyDescent="0.45">
      <c r="T38" s="14"/>
    </row>
    <row r="39" spans="20:20" ht="14.25" x14ac:dyDescent="0.45">
      <c r="T39" s="14"/>
    </row>
    <row r="40" spans="20:20" ht="14.25" x14ac:dyDescent="0.45">
      <c r="T40" s="14"/>
    </row>
    <row r="41" spans="20:20" ht="14.25" x14ac:dyDescent="0.45">
      <c r="T41" s="14"/>
    </row>
    <row r="42" spans="20:20" ht="14.25" x14ac:dyDescent="0.45">
      <c r="T42" s="14"/>
    </row>
    <row r="43" spans="20:20" ht="14.25" x14ac:dyDescent="0.45">
      <c r="T43" s="14"/>
    </row>
    <row r="44" spans="20:20" ht="14.25" x14ac:dyDescent="0.45">
      <c r="T44" s="14"/>
    </row>
    <row r="45" spans="20:20" ht="14.25" x14ac:dyDescent="0.45">
      <c r="T45" s="14"/>
    </row>
    <row r="46" spans="20:20" ht="14.25" x14ac:dyDescent="0.45">
      <c r="T46" s="14"/>
    </row>
    <row r="47" spans="20:20" ht="14.25" x14ac:dyDescent="0.45">
      <c r="T47" s="14"/>
    </row>
    <row r="48" spans="20:20" ht="14.25" x14ac:dyDescent="0.45">
      <c r="T48" s="14"/>
    </row>
    <row r="49" spans="20:20" ht="14.25" x14ac:dyDescent="0.45">
      <c r="T49" s="14"/>
    </row>
    <row r="50" spans="20:20" ht="14.25" x14ac:dyDescent="0.45">
      <c r="T50" s="14"/>
    </row>
    <row r="51" spans="20:20" ht="14.25" x14ac:dyDescent="0.45">
      <c r="T51" s="14"/>
    </row>
    <row r="52" spans="20:20" ht="14.25" x14ac:dyDescent="0.45">
      <c r="T52" s="14"/>
    </row>
    <row r="53" spans="20:20" ht="14.25" x14ac:dyDescent="0.45">
      <c r="T53" s="14"/>
    </row>
    <row r="54" spans="20:20" ht="14.25" x14ac:dyDescent="0.45">
      <c r="T54" s="14"/>
    </row>
    <row r="55" spans="20:20" ht="14.25" x14ac:dyDescent="0.45">
      <c r="T55" s="14"/>
    </row>
    <row r="56" spans="20:20" ht="14.25" x14ac:dyDescent="0.45">
      <c r="T56" s="14"/>
    </row>
    <row r="57" spans="20:20" ht="14.25" x14ac:dyDescent="0.45">
      <c r="T57" s="14"/>
    </row>
    <row r="58" spans="20:20" ht="14.25" x14ac:dyDescent="0.45">
      <c r="T58" s="14"/>
    </row>
    <row r="59" spans="20:20" ht="14.25" x14ac:dyDescent="0.45">
      <c r="T59" s="14"/>
    </row>
    <row r="60" spans="20:20" ht="14.25" x14ac:dyDescent="0.45">
      <c r="T60" s="14"/>
    </row>
    <row r="61" spans="20:20" ht="14.25" x14ac:dyDescent="0.45">
      <c r="T61" s="1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848DC-258F-4816-8C4B-C0AE410F3B15}">
  <sheetPr codeName="Sheet3">
    <tabColor theme="4"/>
  </sheetPr>
  <dimension ref="A1:AE108"/>
  <sheetViews>
    <sheetView showGridLines="0" zoomScale="80" zoomScaleNormal="80" workbookViewId="0">
      <pane ySplit="1" topLeftCell="A2" activePane="bottomLeft" state="frozen"/>
      <selection pane="bottomLeft" activeCell="E2" sqref="E2:E62"/>
    </sheetView>
  </sheetViews>
  <sheetFormatPr defaultRowHeight="14.25" x14ac:dyDescent="0.45"/>
  <cols>
    <col min="1" max="1" width="64.46484375" style="1" bestFit="1" customWidth="1"/>
    <col min="2" max="2" width="22.06640625" style="2" customWidth="1"/>
    <col min="3" max="3" width="16.06640625" style="2" bestFit="1" customWidth="1"/>
    <col min="4" max="4" width="17.46484375" style="2" bestFit="1" customWidth="1"/>
    <col min="5" max="10" width="20.59765625" customWidth="1"/>
  </cols>
  <sheetData>
    <row r="1" spans="1:31" ht="18" x14ac:dyDescent="0.45">
      <c r="A1" s="3" t="s">
        <v>0</v>
      </c>
      <c r="B1" s="4" t="s">
        <v>88</v>
      </c>
      <c r="C1" s="4" t="s">
        <v>85</v>
      </c>
      <c r="D1" s="4" t="s">
        <v>15</v>
      </c>
      <c r="E1" s="19"/>
      <c r="F1" s="19"/>
      <c r="G1" s="19"/>
      <c r="H1" s="19"/>
      <c r="I1" s="19"/>
      <c r="J1" s="19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</row>
    <row r="2" spans="1:31" x14ac:dyDescent="0.45">
      <c r="A2" s="16" t="s">
        <v>14</v>
      </c>
      <c r="B2" s="7" t="s">
        <v>87</v>
      </c>
      <c r="C2" s="7" t="s">
        <v>1</v>
      </c>
      <c r="D2" s="7" t="s">
        <v>31</v>
      </c>
      <c r="E2" s="11"/>
      <c r="F2" s="11"/>
      <c r="G2" s="11"/>
      <c r="H2" s="11"/>
      <c r="I2" s="11"/>
      <c r="J2" s="11"/>
    </row>
    <row r="3" spans="1:31" x14ac:dyDescent="0.45">
      <c r="A3" s="17" t="s">
        <v>64</v>
      </c>
      <c r="B3" s="7" t="s">
        <v>87</v>
      </c>
      <c r="C3" s="7" t="s">
        <v>1</v>
      </c>
      <c r="D3" s="7" t="s">
        <v>31</v>
      </c>
      <c r="E3" s="11"/>
      <c r="F3" s="11"/>
      <c r="G3" s="11"/>
      <c r="H3" s="11"/>
      <c r="I3" s="11"/>
      <c r="J3" s="11"/>
    </row>
    <row r="4" spans="1:31" x14ac:dyDescent="0.45">
      <c r="A4" s="17" t="s">
        <v>65</v>
      </c>
      <c r="B4" s="7" t="s">
        <v>87</v>
      </c>
      <c r="C4" s="7" t="s">
        <v>3</v>
      </c>
      <c r="D4" s="7" t="s">
        <v>31</v>
      </c>
      <c r="E4" s="11"/>
      <c r="F4" s="11"/>
      <c r="G4" s="11"/>
      <c r="H4" s="11"/>
      <c r="I4" s="11"/>
      <c r="J4" s="11"/>
    </row>
    <row r="5" spans="1:31" x14ac:dyDescent="0.45">
      <c r="A5" s="17" t="s">
        <v>86</v>
      </c>
      <c r="B5" s="7" t="s">
        <v>87</v>
      </c>
      <c r="C5" s="7" t="s">
        <v>1</v>
      </c>
      <c r="D5" s="7" t="s">
        <v>31</v>
      </c>
      <c r="E5" s="11"/>
      <c r="F5" s="11"/>
      <c r="G5" s="11"/>
      <c r="H5" s="11"/>
      <c r="I5" s="11"/>
      <c r="J5" s="11"/>
    </row>
    <row r="6" spans="1:31" x14ac:dyDescent="0.45">
      <c r="A6" s="17" t="s">
        <v>66</v>
      </c>
      <c r="B6" s="7" t="s">
        <v>87</v>
      </c>
      <c r="C6" s="7" t="s">
        <v>1</v>
      </c>
      <c r="D6" s="7" t="s">
        <v>31</v>
      </c>
      <c r="E6" s="11"/>
      <c r="F6" s="11"/>
      <c r="G6" s="11"/>
      <c r="H6" s="11"/>
      <c r="I6" s="11"/>
      <c r="J6" s="11"/>
    </row>
    <row r="7" spans="1:31" x14ac:dyDescent="0.45">
      <c r="A7" s="17" t="s">
        <v>17</v>
      </c>
      <c r="B7" s="7" t="s">
        <v>87</v>
      </c>
      <c r="C7" s="7" t="s">
        <v>1</v>
      </c>
      <c r="D7" s="2" t="s">
        <v>32</v>
      </c>
      <c r="E7" s="11"/>
      <c r="F7" s="11"/>
      <c r="G7" s="11"/>
      <c r="H7" s="11"/>
      <c r="I7" s="11"/>
      <c r="J7" s="11"/>
    </row>
    <row r="8" spans="1:31" x14ac:dyDescent="0.45">
      <c r="A8" s="17" t="s">
        <v>67</v>
      </c>
      <c r="B8" s="7" t="s">
        <v>87</v>
      </c>
      <c r="C8" s="7" t="s">
        <v>1</v>
      </c>
      <c r="D8" s="2" t="s">
        <v>32</v>
      </c>
      <c r="E8" s="11"/>
      <c r="F8" s="11"/>
      <c r="G8" s="11"/>
      <c r="H8" s="11"/>
      <c r="I8" s="11"/>
      <c r="J8" s="11"/>
    </row>
    <row r="9" spans="1:31" x14ac:dyDescent="0.45">
      <c r="A9" s="17" t="s">
        <v>68</v>
      </c>
      <c r="B9" s="7" t="s">
        <v>87</v>
      </c>
      <c r="C9" s="7" t="s">
        <v>1</v>
      </c>
      <c r="D9" s="2" t="s">
        <v>32</v>
      </c>
      <c r="E9" s="11"/>
      <c r="F9" s="11"/>
      <c r="G9" s="11"/>
      <c r="H9" s="11"/>
      <c r="I9" s="11"/>
      <c r="J9" s="11"/>
    </row>
    <row r="10" spans="1:31" x14ac:dyDescent="0.45">
      <c r="A10" s="17" t="s">
        <v>69</v>
      </c>
      <c r="B10" s="7" t="s">
        <v>87</v>
      </c>
      <c r="C10" s="7" t="s">
        <v>1</v>
      </c>
      <c r="D10" s="2" t="s">
        <v>32</v>
      </c>
      <c r="E10" s="11"/>
      <c r="F10" s="11"/>
      <c r="G10" s="11"/>
      <c r="H10" s="11"/>
      <c r="I10" s="11"/>
      <c r="J10" s="11"/>
    </row>
    <row r="11" spans="1:31" x14ac:dyDescent="0.45">
      <c r="A11" s="17" t="s">
        <v>70</v>
      </c>
      <c r="B11" s="7" t="s">
        <v>87</v>
      </c>
      <c r="C11" s="7" t="s">
        <v>1</v>
      </c>
      <c r="D11" s="2" t="s">
        <v>32</v>
      </c>
      <c r="E11" s="11"/>
      <c r="F11" s="11"/>
      <c r="G11" s="11"/>
      <c r="H11" s="11"/>
      <c r="I11" s="11"/>
      <c r="J11" s="11"/>
    </row>
    <row r="12" spans="1:31" x14ac:dyDescent="0.45">
      <c r="A12" s="17" t="s">
        <v>71</v>
      </c>
      <c r="B12" s="7" t="s">
        <v>87</v>
      </c>
      <c r="C12" s="7" t="s">
        <v>1</v>
      </c>
      <c r="D12" s="2" t="s">
        <v>32</v>
      </c>
      <c r="E12" s="11"/>
      <c r="F12" s="11"/>
      <c r="G12" s="11"/>
      <c r="H12" s="11"/>
      <c r="I12" s="11"/>
      <c r="J12" s="11"/>
    </row>
    <row r="13" spans="1:31" x14ac:dyDescent="0.45">
      <c r="A13" s="17" t="s">
        <v>16</v>
      </c>
      <c r="B13" s="7" t="s">
        <v>87</v>
      </c>
      <c r="C13" s="7" t="s">
        <v>1</v>
      </c>
      <c r="D13" s="2" t="s">
        <v>32</v>
      </c>
      <c r="E13" s="11"/>
      <c r="F13" s="11"/>
      <c r="G13" s="11"/>
      <c r="H13" s="11"/>
      <c r="I13" s="11"/>
      <c r="J13" s="11"/>
    </row>
    <row r="14" spans="1:31" x14ac:dyDescent="0.45">
      <c r="A14" s="17" t="s">
        <v>72</v>
      </c>
      <c r="B14" s="7" t="s">
        <v>87</v>
      </c>
      <c r="C14" s="7" t="s">
        <v>1</v>
      </c>
      <c r="D14" s="2" t="s">
        <v>32</v>
      </c>
      <c r="E14" s="11"/>
      <c r="F14" s="11"/>
      <c r="G14" s="11"/>
      <c r="H14" s="11"/>
      <c r="I14" s="11"/>
      <c r="J14" s="11"/>
    </row>
    <row r="15" spans="1:31" x14ac:dyDescent="0.45">
      <c r="A15" s="17" t="s">
        <v>18</v>
      </c>
      <c r="B15" s="7" t="s">
        <v>87</v>
      </c>
      <c r="C15" s="7" t="s">
        <v>1</v>
      </c>
      <c r="D15" s="2" t="s">
        <v>32</v>
      </c>
      <c r="E15" s="11"/>
      <c r="F15" s="11"/>
      <c r="G15" s="11"/>
      <c r="H15" s="11"/>
      <c r="I15" s="11"/>
      <c r="J15" s="11"/>
    </row>
    <row r="16" spans="1:31" x14ac:dyDescent="0.45">
      <c r="A16" s="17" t="s">
        <v>73</v>
      </c>
      <c r="B16" s="7" t="s">
        <v>87</v>
      </c>
      <c r="C16" s="7" t="s">
        <v>1</v>
      </c>
      <c r="D16" s="2" t="s">
        <v>32</v>
      </c>
      <c r="E16" s="11"/>
      <c r="F16" s="11"/>
      <c r="G16" s="11"/>
      <c r="H16" s="11"/>
      <c r="I16" s="11"/>
      <c r="J16" s="11"/>
    </row>
    <row r="17" spans="1:10" x14ac:dyDescent="0.45">
      <c r="A17" s="17" t="s">
        <v>74</v>
      </c>
      <c r="B17" s="7" t="s">
        <v>87</v>
      </c>
      <c r="C17" s="7" t="s">
        <v>2</v>
      </c>
      <c r="D17" s="2" t="s">
        <v>32</v>
      </c>
      <c r="E17" s="11"/>
      <c r="F17" s="11"/>
      <c r="G17" s="11"/>
      <c r="H17" s="11"/>
      <c r="I17" s="11"/>
      <c r="J17" s="11"/>
    </row>
    <row r="18" spans="1:10" x14ac:dyDescent="0.45">
      <c r="A18" s="17" t="s">
        <v>19</v>
      </c>
      <c r="B18" s="7" t="s">
        <v>87</v>
      </c>
      <c r="C18" s="7" t="s">
        <v>2</v>
      </c>
      <c r="D18" s="2" t="s">
        <v>32</v>
      </c>
      <c r="E18" s="11"/>
      <c r="F18" s="11"/>
      <c r="G18" s="11"/>
      <c r="H18" s="11"/>
      <c r="I18" s="11"/>
      <c r="J18" s="11"/>
    </row>
    <row r="19" spans="1:10" x14ac:dyDescent="0.45">
      <c r="A19" s="17" t="s">
        <v>75</v>
      </c>
      <c r="B19" s="7" t="s">
        <v>87</v>
      </c>
      <c r="C19" s="7" t="s">
        <v>2</v>
      </c>
      <c r="D19" s="2" t="s">
        <v>32</v>
      </c>
      <c r="E19" s="11"/>
      <c r="F19" s="11"/>
      <c r="G19" s="11"/>
      <c r="H19" s="11"/>
      <c r="I19" s="11"/>
      <c r="J19" s="11"/>
    </row>
    <row r="20" spans="1:10" x14ac:dyDescent="0.45">
      <c r="A20" s="17" t="s">
        <v>76</v>
      </c>
      <c r="B20" s="7" t="s">
        <v>87</v>
      </c>
      <c r="C20" s="7" t="s">
        <v>2</v>
      </c>
      <c r="D20" s="2" t="s">
        <v>32</v>
      </c>
      <c r="E20" s="11"/>
      <c r="F20" s="11"/>
      <c r="G20" s="11"/>
      <c r="H20" s="11"/>
      <c r="I20" s="11"/>
      <c r="J20" s="11"/>
    </row>
    <row r="21" spans="1:10" x14ac:dyDescent="0.45">
      <c r="A21" s="17" t="s">
        <v>77</v>
      </c>
      <c r="B21" s="7" t="s">
        <v>87</v>
      </c>
      <c r="C21" s="7" t="s">
        <v>2</v>
      </c>
      <c r="D21" s="2" t="s">
        <v>32</v>
      </c>
      <c r="E21" s="11"/>
      <c r="F21" s="11"/>
      <c r="G21" s="11"/>
      <c r="H21" s="11"/>
      <c r="I21" s="11"/>
      <c r="J21" s="11"/>
    </row>
    <row r="22" spans="1:10" x14ac:dyDescent="0.45">
      <c r="A22" s="17" t="s">
        <v>78</v>
      </c>
      <c r="B22" s="7" t="s">
        <v>87</v>
      </c>
      <c r="C22" s="7" t="s">
        <v>2</v>
      </c>
      <c r="D22" s="2" t="s">
        <v>32</v>
      </c>
      <c r="E22" s="11"/>
      <c r="F22" s="11"/>
      <c r="G22" s="11"/>
      <c r="H22" s="11"/>
      <c r="I22" s="11"/>
      <c r="J22" s="11"/>
    </row>
    <row r="23" spans="1:10" x14ac:dyDescent="0.45">
      <c r="A23" s="17" t="s">
        <v>79</v>
      </c>
      <c r="B23" s="7" t="s">
        <v>87</v>
      </c>
      <c r="C23" s="7" t="s">
        <v>1</v>
      </c>
      <c r="D23" s="2" t="s">
        <v>33</v>
      </c>
      <c r="E23" s="11"/>
      <c r="F23" s="11"/>
      <c r="G23" s="11"/>
      <c r="H23" s="11"/>
      <c r="I23" s="11"/>
      <c r="J23" s="11"/>
    </row>
    <row r="24" spans="1:10" x14ac:dyDescent="0.45">
      <c r="A24" s="17" t="s">
        <v>20</v>
      </c>
      <c r="B24" s="7" t="s">
        <v>87</v>
      </c>
      <c r="C24" s="7" t="s">
        <v>1</v>
      </c>
      <c r="D24" s="2" t="s">
        <v>33</v>
      </c>
      <c r="E24" s="11"/>
      <c r="F24" s="11"/>
      <c r="G24" s="11"/>
      <c r="H24" s="11"/>
      <c r="I24" s="11"/>
      <c r="J24" s="11"/>
    </row>
    <row r="25" spans="1:10" x14ac:dyDescent="0.45">
      <c r="A25" s="17" t="s">
        <v>21</v>
      </c>
      <c r="B25" s="7" t="s">
        <v>87</v>
      </c>
      <c r="C25" s="7" t="s">
        <v>1</v>
      </c>
      <c r="D25" s="2" t="s">
        <v>33</v>
      </c>
      <c r="E25" s="11"/>
      <c r="F25" s="11"/>
      <c r="G25" s="11"/>
      <c r="H25" s="11"/>
      <c r="I25" s="11"/>
      <c r="J25" s="11"/>
    </row>
    <row r="26" spans="1:10" x14ac:dyDescent="0.45">
      <c r="A26" s="17" t="s">
        <v>22</v>
      </c>
      <c r="B26" s="7" t="s">
        <v>87</v>
      </c>
      <c r="C26" s="7" t="s">
        <v>1</v>
      </c>
      <c r="D26" s="2" t="s">
        <v>33</v>
      </c>
      <c r="E26" s="11"/>
      <c r="F26" s="11"/>
      <c r="G26" s="11"/>
      <c r="H26" s="11"/>
      <c r="I26" s="11"/>
      <c r="J26" s="11"/>
    </row>
    <row r="27" spans="1:10" x14ac:dyDescent="0.45">
      <c r="A27" s="17" t="s">
        <v>23</v>
      </c>
      <c r="B27" s="7" t="s">
        <v>87</v>
      </c>
      <c r="C27" s="7" t="s">
        <v>1</v>
      </c>
      <c r="D27" s="2" t="s">
        <v>33</v>
      </c>
      <c r="E27" s="11"/>
      <c r="F27" s="11"/>
      <c r="G27" s="11"/>
      <c r="H27" s="11"/>
      <c r="I27" s="11"/>
      <c r="J27" s="11"/>
    </row>
    <row r="28" spans="1:10" x14ac:dyDescent="0.45">
      <c r="A28" s="17" t="s">
        <v>24</v>
      </c>
      <c r="B28" s="7" t="s">
        <v>87</v>
      </c>
      <c r="C28" s="7" t="s">
        <v>2</v>
      </c>
      <c r="D28" s="2" t="s">
        <v>33</v>
      </c>
      <c r="E28" s="11"/>
      <c r="F28" s="11"/>
      <c r="G28" s="11"/>
      <c r="H28" s="11"/>
      <c r="I28" s="11"/>
      <c r="J28" s="11"/>
    </row>
    <row r="29" spans="1:10" x14ac:dyDescent="0.45">
      <c r="A29" s="17" t="s">
        <v>25</v>
      </c>
      <c r="B29" s="7" t="s">
        <v>87</v>
      </c>
      <c r="C29" s="7" t="s">
        <v>1</v>
      </c>
      <c r="D29" s="2" t="s">
        <v>33</v>
      </c>
      <c r="E29" s="11"/>
      <c r="F29" s="11"/>
      <c r="G29" s="11"/>
      <c r="H29" s="11"/>
      <c r="I29" s="11"/>
      <c r="J29" s="11"/>
    </row>
    <row r="30" spans="1:10" x14ac:dyDescent="0.45">
      <c r="A30" s="17" t="s">
        <v>80</v>
      </c>
      <c r="B30" s="7" t="s">
        <v>87</v>
      </c>
      <c r="C30" s="7" t="s">
        <v>1</v>
      </c>
      <c r="D30" s="2" t="s">
        <v>33</v>
      </c>
      <c r="E30" s="11"/>
      <c r="F30" s="11"/>
      <c r="G30" s="11"/>
      <c r="H30" s="11"/>
      <c r="I30" s="11"/>
      <c r="J30" s="11"/>
    </row>
    <row r="31" spans="1:10" x14ac:dyDescent="0.45">
      <c r="A31" s="17" t="s">
        <v>26</v>
      </c>
      <c r="B31" s="7" t="s">
        <v>87</v>
      </c>
      <c r="C31" s="7" t="s">
        <v>1</v>
      </c>
      <c r="D31" s="2" t="s">
        <v>33</v>
      </c>
      <c r="E31" s="11"/>
      <c r="F31" s="11"/>
      <c r="G31" s="11"/>
      <c r="H31" s="11"/>
      <c r="I31" s="11"/>
      <c r="J31" s="11"/>
    </row>
    <row r="32" spans="1:10" x14ac:dyDescent="0.45">
      <c r="A32" s="17" t="s">
        <v>27</v>
      </c>
      <c r="B32" s="7" t="s">
        <v>87</v>
      </c>
      <c r="C32" s="7" t="s">
        <v>1</v>
      </c>
      <c r="D32" s="2" t="s">
        <v>33</v>
      </c>
      <c r="E32" s="11"/>
      <c r="F32" s="11"/>
      <c r="G32" s="11"/>
      <c r="H32" s="11"/>
      <c r="I32" s="11"/>
      <c r="J32" s="11"/>
    </row>
    <row r="33" spans="1:10" x14ac:dyDescent="0.45">
      <c r="A33" s="17" t="s">
        <v>81</v>
      </c>
      <c r="B33" s="7" t="s">
        <v>87</v>
      </c>
      <c r="C33" s="2" t="s">
        <v>3</v>
      </c>
      <c r="D33" s="2" t="s">
        <v>34</v>
      </c>
      <c r="E33" s="11"/>
      <c r="F33" s="11"/>
      <c r="G33" s="11"/>
      <c r="H33" s="11"/>
      <c r="I33" s="11"/>
      <c r="J33" s="11"/>
    </row>
    <row r="34" spans="1:10" x14ac:dyDescent="0.45">
      <c r="A34" s="17" t="s">
        <v>82</v>
      </c>
      <c r="B34" s="7" t="s">
        <v>87</v>
      </c>
      <c r="C34" s="2" t="s">
        <v>3</v>
      </c>
      <c r="D34" s="2" t="s">
        <v>34</v>
      </c>
      <c r="E34" s="11"/>
      <c r="F34" s="11"/>
      <c r="G34" s="11"/>
      <c r="H34" s="11"/>
      <c r="I34" s="11"/>
      <c r="J34" s="11"/>
    </row>
    <row r="35" spans="1:10" x14ac:dyDescent="0.45">
      <c r="A35" s="17" t="s">
        <v>83</v>
      </c>
      <c r="B35" s="7" t="s">
        <v>87</v>
      </c>
      <c r="C35" s="2" t="s">
        <v>3</v>
      </c>
      <c r="D35" s="2" t="s">
        <v>34</v>
      </c>
      <c r="E35" s="11"/>
      <c r="F35" s="11"/>
      <c r="G35" s="11"/>
      <c r="H35" s="11"/>
      <c r="I35" s="11"/>
      <c r="J35" s="11"/>
    </row>
    <row r="36" spans="1:10" x14ac:dyDescent="0.45">
      <c r="A36" s="17" t="s">
        <v>28</v>
      </c>
      <c r="B36" s="7" t="s">
        <v>87</v>
      </c>
      <c r="C36" s="2" t="s">
        <v>3</v>
      </c>
      <c r="D36" s="2" t="s">
        <v>34</v>
      </c>
      <c r="E36" s="11"/>
      <c r="F36" s="11"/>
      <c r="G36" s="11"/>
      <c r="H36" s="11"/>
      <c r="I36" s="11"/>
      <c r="J36" s="11"/>
    </row>
    <row r="37" spans="1:10" x14ac:dyDescent="0.45">
      <c r="A37" s="17" t="s">
        <v>29</v>
      </c>
      <c r="B37" s="7" t="s">
        <v>87</v>
      </c>
      <c r="C37" s="2" t="s">
        <v>3</v>
      </c>
      <c r="D37" s="2" t="s">
        <v>34</v>
      </c>
      <c r="E37" s="11"/>
      <c r="F37" s="11"/>
      <c r="G37" s="11"/>
      <c r="H37" s="11"/>
      <c r="I37" s="11"/>
      <c r="J37" s="11"/>
    </row>
    <row r="38" spans="1:10" x14ac:dyDescent="0.45">
      <c r="A38" s="17" t="s">
        <v>30</v>
      </c>
      <c r="B38" s="7" t="s">
        <v>87</v>
      </c>
      <c r="C38" s="2" t="s">
        <v>3</v>
      </c>
      <c r="D38" s="2" t="s">
        <v>34</v>
      </c>
      <c r="E38" s="11"/>
      <c r="F38" s="11"/>
      <c r="G38" s="11"/>
      <c r="H38" s="11"/>
      <c r="I38" s="11"/>
      <c r="J38" s="11"/>
    </row>
    <row r="39" spans="1:10" x14ac:dyDescent="0.45">
      <c r="A39" s="17" t="s">
        <v>35</v>
      </c>
      <c r="B39" s="7" t="s">
        <v>87</v>
      </c>
      <c r="C39" s="2" t="s">
        <v>3</v>
      </c>
      <c r="D39" s="2" t="s">
        <v>34</v>
      </c>
      <c r="E39" s="11"/>
      <c r="F39" s="11"/>
      <c r="G39" s="11"/>
      <c r="H39" s="11"/>
      <c r="I39" s="11"/>
      <c r="J39" s="11"/>
    </row>
    <row r="40" spans="1:10" x14ac:dyDescent="0.45">
      <c r="A40" s="17" t="s">
        <v>36</v>
      </c>
      <c r="B40" s="7" t="s">
        <v>87</v>
      </c>
      <c r="C40" s="2" t="s">
        <v>3</v>
      </c>
      <c r="D40" s="2" t="s">
        <v>34</v>
      </c>
      <c r="E40" s="11"/>
      <c r="F40" s="11"/>
      <c r="G40" s="11"/>
      <c r="H40" s="11"/>
      <c r="I40" s="11"/>
      <c r="J40" s="11"/>
    </row>
    <row r="41" spans="1:10" x14ac:dyDescent="0.45">
      <c r="A41" s="17" t="s">
        <v>37</v>
      </c>
      <c r="B41" s="7" t="s">
        <v>87</v>
      </c>
      <c r="C41" s="2" t="s">
        <v>3</v>
      </c>
      <c r="D41" s="2" t="s">
        <v>34</v>
      </c>
      <c r="E41" s="11"/>
      <c r="F41" s="11"/>
      <c r="G41" s="11"/>
      <c r="H41" s="11"/>
      <c r="I41" s="11"/>
      <c r="J41" s="11"/>
    </row>
    <row r="42" spans="1:10" x14ac:dyDescent="0.45">
      <c r="A42" s="17" t="s">
        <v>39</v>
      </c>
      <c r="B42" s="7" t="s">
        <v>87</v>
      </c>
      <c r="C42" s="2" t="s">
        <v>3</v>
      </c>
      <c r="D42" s="2" t="s">
        <v>34</v>
      </c>
      <c r="E42" s="11"/>
      <c r="F42" s="11"/>
      <c r="G42" s="11"/>
      <c r="H42" s="11"/>
      <c r="I42" s="11"/>
      <c r="J42" s="11"/>
    </row>
    <row r="43" spans="1:10" x14ac:dyDescent="0.45">
      <c r="A43" s="17" t="s">
        <v>38</v>
      </c>
      <c r="B43" s="7" t="s">
        <v>87</v>
      </c>
      <c r="C43" s="2" t="s">
        <v>3</v>
      </c>
      <c r="D43" s="2" t="s">
        <v>34</v>
      </c>
      <c r="E43" s="11"/>
      <c r="F43" s="11"/>
      <c r="G43" s="11"/>
      <c r="H43" s="11"/>
      <c r="I43" s="11"/>
      <c r="J43" s="11"/>
    </row>
    <row r="44" spans="1:10" x14ac:dyDescent="0.45">
      <c r="A44" s="17" t="s">
        <v>40</v>
      </c>
      <c r="B44" s="7" t="s">
        <v>87</v>
      </c>
      <c r="C44" s="2" t="s">
        <v>2</v>
      </c>
      <c r="D44" s="2" t="s">
        <v>44</v>
      </c>
      <c r="E44" s="11"/>
      <c r="F44" s="11"/>
      <c r="G44" s="11"/>
      <c r="H44" s="11"/>
      <c r="I44" s="11"/>
      <c r="J44" s="11"/>
    </row>
    <row r="45" spans="1:10" x14ac:dyDescent="0.45">
      <c r="A45" s="17" t="s">
        <v>41</v>
      </c>
      <c r="B45" s="7" t="s">
        <v>87</v>
      </c>
      <c r="C45" s="2" t="s">
        <v>2</v>
      </c>
      <c r="D45" s="2" t="s">
        <v>44</v>
      </c>
      <c r="E45" s="11"/>
      <c r="F45" s="11"/>
      <c r="G45" s="11"/>
      <c r="H45" s="11"/>
      <c r="I45" s="11"/>
      <c r="J45" s="11"/>
    </row>
    <row r="46" spans="1:10" x14ac:dyDescent="0.45">
      <c r="A46" s="17" t="s">
        <v>42</v>
      </c>
      <c r="B46" s="7" t="s">
        <v>87</v>
      </c>
      <c r="C46" s="2" t="s">
        <v>2</v>
      </c>
      <c r="D46" s="2" t="s">
        <v>44</v>
      </c>
      <c r="E46" s="11"/>
      <c r="F46" s="11"/>
      <c r="G46" s="11"/>
      <c r="H46" s="11"/>
      <c r="I46" s="11"/>
      <c r="J46" s="11"/>
    </row>
    <row r="47" spans="1:10" x14ac:dyDescent="0.45">
      <c r="A47" s="17" t="s">
        <v>43</v>
      </c>
      <c r="B47" s="7" t="s">
        <v>87</v>
      </c>
      <c r="C47" s="2" t="s">
        <v>3</v>
      </c>
      <c r="D47" s="2" t="s">
        <v>44</v>
      </c>
      <c r="E47" s="11"/>
      <c r="F47" s="11"/>
      <c r="G47" s="11"/>
      <c r="H47" s="11"/>
      <c r="I47" s="11"/>
      <c r="J47" s="11"/>
    </row>
    <row r="48" spans="1:10" x14ac:dyDescent="0.45">
      <c r="A48" s="17" t="s">
        <v>45</v>
      </c>
      <c r="B48" s="7" t="s">
        <v>87</v>
      </c>
      <c r="C48" s="2" t="s">
        <v>3</v>
      </c>
      <c r="D48" s="2" t="s">
        <v>44</v>
      </c>
      <c r="E48" s="11"/>
      <c r="F48" s="11"/>
      <c r="G48" s="11"/>
      <c r="H48" s="11"/>
      <c r="I48" s="11"/>
      <c r="J48" s="11"/>
    </row>
    <row r="49" spans="1:10" x14ac:dyDescent="0.45">
      <c r="A49" s="17" t="s">
        <v>46</v>
      </c>
      <c r="B49" s="7" t="s">
        <v>87</v>
      </c>
      <c r="C49" s="2" t="s">
        <v>2</v>
      </c>
      <c r="D49" s="2" t="s">
        <v>44</v>
      </c>
      <c r="E49" s="11"/>
      <c r="F49" s="11"/>
      <c r="G49" s="11"/>
      <c r="H49" s="11"/>
      <c r="I49" s="11"/>
      <c r="J49" s="11"/>
    </row>
    <row r="50" spans="1:10" x14ac:dyDescent="0.45">
      <c r="A50" s="17" t="s">
        <v>48</v>
      </c>
      <c r="B50" s="7" t="s">
        <v>87</v>
      </c>
      <c r="C50" s="2" t="s">
        <v>1</v>
      </c>
      <c r="D50" s="2" t="s">
        <v>47</v>
      </c>
      <c r="E50" s="11"/>
      <c r="F50" s="11"/>
      <c r="G50" s="11"/>
      <c r="H50" s="11"/>
      <c r="I50" s="11"/>
      <c r="J50" s="11"/>
    </row>
    <row r="51" spans="1:10" x14ac:dyDescent="0.45">
      <c r="A51" s="17" t="s">
        <v>49</v>
      </c>
      <c r="B51" s="7" t="s">
        <v>87</v>
      </c>
      <c r="C51" s="2" t="s">
        <v>1</v>
      </c>
      <c r="D51" s="2" t="s">
        <v>47</v>
      </c>
      <c r="E51" s="11"/>
      <c r="F51" s="11"/>
      <c r="G51" s="11"/>
      <c r="H51" s="11"/>
      <c r="I51" s="11"/>
      <c r="J51" s="11"/>
    </row>
    <row r="52" spans="1:10" x14ac:dyDescent="0.45">
      <c r="A52" s="17" t="s">
        <v>50</v>
      </c>
      <c r="B52" s="7" t="s">
        <v>87</v>
      </c>
      <c r="C52" s="2" t="s">
        <v>1</v>
      </c>
      <c r="D52" s="2" t="s">
        <v>47</v>
      </c>
      <c r="E52" s="11"/>
      <c r="F52" s="11"/>
      <c r="G52" s="11"/>
      <c r="H52" s="11"/>
      <c r="I52" s="11"/>
      <c r="J52" s="11"/>
    </row>
    <row r="53" spans="1:10" x14ac:dyDescent="0.45">
      <c r="A53" s="17" t="s">
        <v>51</v>
      </c>
      <c r="B53" s="7" t="s">
        <v>87</v>
      </c>
      <c r="C53" s="2" t="s">
        <v>1</v>
      </c>
      <c r="D53" s="2" t="s">
        <v>47</v>
      </c>
      <c r="E53" s="11"/>
      <c r="F53" s="11"/>
      <c r="G53" s="11"/>
      <c r="H53" s="11"/>
      <c r="I53" s="11"/>
      <c r="J53" s="11"/>
    </row>
    <row r="54" spans="1:10" x14ac:dyDescent="0.45">
      <c r="A54" s="17" t="s">
        <v>52</v>
      </c>
      <c r="B54" s="7" t="s">
        <v>87</v>
      </c>
      <c r="C54" s="2" t="s">
        <v>1</v>
      </c>
      <c r="D54" s="2" t="s">
        <v>47</v>
      </c>
      <c r="E54" s="11"/>
      <c r="F54" s="11"/>
      <c r="G54" s="11"/>
      <c r="H54" s="11"/>
      <c r="I54" s="11"/>
      <c r="J54" s="11"/>
    </row>
    <row r="55" spans="1:10" x14ac:dyDescent="0.45">
      <c r="A55" s="17" t="s">
        <v>53</v>
      </c>
      <c r="B55" s="7" t="s">
        <v>87</v>
      </c>
      <c r="C55" s="2" t="s">
        <v>1</v>
      </c>
      <c r="D55" s="2" t="s">
        <v>47</v>
      </c>
      <c r="E55" s="11"/>
      <c r="F55" s="11"/>
      <c r="G55" s="11"/>
      <c r="H55" s="11"/>
      <c r="I55" s="11"/>
      <c r="J55" s="11"/>
    </row>
    <row r="56" spans="1:10" x14ac:dyDescent="0.45">
      <c r="A56" s="17" t="s">
        <v>54</v>
      </c>
      <c r="B56" s="7" t="s">
        <v>87</v>
      </c>
      <c r="C56" s="2" t="s">
        <v>1</v>
      </c>
      <c r="D56" s="2" t="s">
        <v>47</v>
      </c>
      <c r="E56" s="11"/>
      <c r="F56" s="11"/>
      <c r="G56" s="11"/>
      <c r="H56" s="11"/>
      <c r="I56" s="11"/>
      <c r="J56" s="11"/>
    </row>
    <row r="57" spans="1:10" x14ac:dyDescent="0.45">
      <c r="A57" s="17" t="s">
        <v>55</v>
      </c>
      <c r="B57" s="7" t="s">
        <v>87</v>
      </c>
      <c r="C57" s="2" t="s">
        <v>1</v>
      </c>
      <c r="D57" s="2" t="s">
        <v>47</v>
      </c>
      <c r="E57" s="11"/>
      <c r="F57" s="11"/>
      <c r="G57" s="11"/>
      <c r="H57" s="11"/>
      <c r="I57" s="11"/>
      <c r="J57" s="11"/>
    </row>
    <row r="58" spans="1:10" x14ac:dyDescent="0.45">
      <c r="A58" s="17" t="s">
        <v>56</v>
      </c>
      <c r="B58" s="7" t="s">
        <v>87</v>
      </c>
      <c r="C58" s="2" t="s">
        <v>1</v>
      </c>
      <c r="D58" s="2" t="s">
        <v>47</v>
      </c>
      <c r="E58" s="11"/>
      <c r="F58" s="11"/>
      <c r="G58" s="11"/>
      <c r="H58" s="11"/>
      <c r="I58" s="11"/>
      <c r="J58" s="11"/>
    </row>
    <row r="59" spans="1:10" x14ac:dyDescent="0.45">
      <c r="A59" s="17" t="s">
        <v>57</v>
      </c>
      <c r="B59" s="7" t="s">
        <v>87</v>
      </c>
      <c r="C59" s="2" t="s">
        <v>1</v>
      </c>
      <c r="D59" s="2" t="s">
        <v>47</v>
      </c>
      <c r="E59" s="11"/>
      <c r="F59" s="11"/>
      <c r="G59" s="11"/>
      <c r="H59" s="11"/>
      <c r="I59" s="11"/>
      <c r="J59" s="11"/>
    </row>
    <row r="60" spans="1:10" x14ac:dyDescent="0.45">
      <c r="A60" s="17" t="s">
        <v>59</v>
      </c>
      <c r="B60" s="7" t="s">
        <v>87</v>
      </c>
      <c r="C60" s="2" t="s">
        <v>2</v>
      </c>
      <c r="D60" s="2" t="s">
        <v>47</v>
      </c>
      <c r="E60" s="11"/>
      <c r="F60" s="11"/>
      <c r="G60" s="11"/>
      <c r="H60" s="11"/>
      <c r="I60" s="11"/>
      <c r="J60" s="11"/>
    </row>
    <row r="61" spans="1:10" x14ac:dyDescent="0.45">
      <c r="A61" s="17" t="s">
        <v>58</v>
      </c>
      <c r="B61" s="7" t="s">
        <v>87</v>
      </c>
      <c r="C61" s="2" t="s">
        <v>1</v>
      </c>
      <c r="D61" s="2" t="s">
        <v>47</v>
      </c>
      <c r="E61" s="11"/>
      <c r="F61" s="11"/>
      <c r="G61" s="11"/>
      <c r="H61" s="11"/>
      <c r="I61" s="11"/>
      <c r="J61" s="11"/>
    </row>
    <row r="62" spans="1:10" x14ac:dyDescent="0.45">
      <c r="A62" s="17" t="s">
        <v>84</v>
      </c>
      <c r="B62" s="7" t="s">
        <v>87</v>
      </c>
      <c r="C62" s="2" t="s">
        <v>2</v>
      </c>
      <c r="D62" s="2" t="s">
        <v>47</v>
      </c>
      <c r="E62" s="11"/>
      <c r="F62" s="11"/>
      <c r="G62" s="11"/>
      <c r="H62" s="11"/>
      <c r="I62" s="11"/>
      <c r="J62" s="11"/>
    </row>
    <row r="63" spans="1:10" x14ac:dyDescent="0.45">
      <c r="A63" s="6"/>
    </row>
    <row r="64" spans="1:10" x14ac:dyDescent="0.45">
      <c r="A64" s="6"/>
    </row>
    <row r="65" spans="1:2" x14ac:dyDescent="0.45">
      <c r="A65" s="6"/>
    </row>
    <row r="73" spans="1:2" x14ac:dyDescent="0.45">
      <c r="B73" s="18"/>
    </row>
    <row r="74" spans="1:2" x14ac:dyDescent="0.45">
      <c r="B74" s="18"/>
    </row>
    <row r="75" spans="1:2" x14ac:dyDescent="0.45">
      <c r="B75" s="18"/>
    </row>
    <row r="106" spans="1:1" x14ac:dyDescent="0.45">
      <c r="A106" s="1" t="s">
        <v>4</v>
      </c>
    </row>
    <row r="107" spans="1:1" x14ac:dyDescent="0.45">
      <c r="A107" s="1" t="s">
        <v>5</v>
      </c>
    </row>
    <row r="108" spans="1:1" x14ac:dyDescent="0.45">
      <c r="A108" s="1" t="s">
        <v>6</v>
      </c>
    </row>
  </sheetData>
  <autoFilter ref="A1:AC1" xr:uid="{783848DC-258F-4816-8C4B-C0AE410F3B15}"/>
  <phoneticPr fontId="1" type="noConversion"/>
  <conditionalFormatting sqref="E2:E62">
    <cfRule type="cellIs" dxfId="17" priority="112" stopIfTrue="1" operator="equal">
      <formula>"COMPLETE"</formula>
    </cfRule>
    <cfRule type="cellIs" dxfId="16" priority="113" stopIfTrue="1" operator="equal">
      <formula>"ACTIVE"</formula>
    </cfRule>
    <cfRule type="cellIs" dxfId="15" priority="114" stopIfTrue="1" operator="equal">
      <formula>"NOT STARTED"</formula>
    </cfRule>
  </conditionalFormatting>
  <conditionalFormatting sqref="F2:F62">
    <cfRule type="cellIs" dxfId="14" priority="115" stopIfTrue="1" operator="equal">
      <formula>"COMPLETE"</formula>
    </cfRule>
    <cfRule type="cellIs" dxfId="13" priority="116" stopIfTrue="1" operator="equal">
      <formula>"ACTIVE"</formula>
    </cfRule>
    <cfRule type="cellIs" dxfId="12" priority="117" stopIfTrue="1" operator="equal">
      <formula>"NOT STARTED"</formula>
    </cfRule>
  </conditionalFormatting>
  <conditionalFormatting sqref="G2:G62">
    <cfRule type="cellIs" dxfId="11" priority="118" stopIfTrue="1" operator="equal">
      <formula>"COMPLETE"</formula>
    </cfRule>
    <cfRule type="cellIs" dxfId="10" priority="119" stopIfTrue="1" operator="equal">
      <formula>"ACTIVE"</formula>
    </cfRule>
    <cfRule type="cellIs" dxfId="9" priority="120" stopIfTrue="1" operator="equal">
      <formula>"NOT STARTED"</formula>
    </cfRule>
  </conditionalFormatting>
  <conditionalFormatting sqref="H2:H62">
    <cfRule type="cellIs" dxfId="8" priority="121" stopIfTrue="1" operator="equal">
      <formula>"COMPLETE"</formula>
    </cfRule>
    <cfRule type="cellIs" dxfId="7" priority="122" stopIfTrue="1" operator="equal">
      <formula>"ACTIVE"</formula>
    </cfRule>
    <cfRule type="cellIs" dxfId="6" priority="123" stopIfTrue="1" operator="equal">
      <formula>"NOT STARTED"</formula>
    </cfRule>
  </conditionalFormatting>
  <conditionalFormatting sqref="I2:I62">
    <cfRule type="cellIs" dxfId="5" priority="124" stopIfTrue="1" operator="equal">
      <formula>"COMPLETE"</formula>
    </cfRule>
    <cfRule type="cellIs" dxfId="4" priority="125" stopIfTrue="1" operator="equal">
      <formula>"ACTIVE"</formula>
    </cfRule>
    <cfRule type="cellIs" dxfId="3" priority="126" stopIfTrue="1" operator="equal">
      <formula>"NOT STARTED"</formula>
    </cfRule>
  </conditionalFormatting>
  <conditionalFormatting sqref="J2:J62">
    <cfRule type="cellIs" dxfId="2" priority="127" stopIfTrue="1" operator="equal">
      <formula>"COMPLETE"</formula>
    </cfRule>
    <cfRule type="cellIs" dxfId="1" priority="128" stopIfTrue="1" operator="equal">
      <formula>"ACTIVE"</formula>
    </cfRule>
    <cfRule type="cellIs" dxfId="0" priority="129" stopIfTrue="1" operator="equal">
      <formula>"NOT STARTED"</formula>
    </cfRule>
  </conditionalFormatting>
  <dataValidations count="1">
    <dataValidation type="list" allowBlank="1" showInputMessage="1" showErrorMessage="1" sqref="E2:J62" xr:uid="{D91EDD11-A712-499A-89A3-CB323A0001CC}">
      <formula1>"COMPLETE,ACTIVE,NOT STARTED"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DASHBOARD</vt:lpstr>
      <vt:lpstr>METRICS</vt:lpstr>
      <vt:lpstr>TASKS</vt:lpstr>
      <vt:lpstr>ACTIVE</vt:lpstr>
      <vt:lpstr>COMPLETE</vt:lpstr>
      <vt:lpstr>NOT_STARTED</vt:lpstr>
      <vt:lpstr>TENANTS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Darren Mayes</dc:creator>
  <cp:lastModifiedBy>Darren Mayes</cp:lastModifiedBy>
  <dcterms:created xsi:type="dcterms:W3CDTF">2024-05-17T19:14:52Z</dcterms:created>
  <dcterms:modified xsi:type="dcterms:W3CDTF">2024-05-30T10:18:06Z</dcterms:modified>
</cp:coreProperties>
</file>